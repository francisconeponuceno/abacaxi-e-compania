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120" yWindow="90" windowWidth="20115" windowHeight="7755" activeTab="1"/>
  </bookViews>
  <sheets>
    <sheet name="precificação" sheetId="1" r:id="rId1"/>
    <sheet name="fluxo de caixa" sheetId="2" r:id="rId2"/>
    <sheet name="entrada" sheetId="4" r:id="rId3"/>
    <sheet name="saida" sheetId="5" r:id="rId4"/>
    <sheet name="Plan3" sheetId="3" r:id="rId5"/>
  </sheets>
  <calcPr calcId="144525"/>
</workbook>
</file>

<file path=xl/calcChain.xml><?xml version="1.0" encoding="utf-8"?>
<calcChain xmlns="http://schemas.openxmlformats.org/spreadsheetml/2006/main">
  <c r="B3" i="4" l="1"/>
  <c r="B3" i="5" l="1"/>
  <c r="F9" i="2" s="1"/>
  <c r="F11" i="2" s="1"/>
  <c r="B13" i="2" s="1"/>
  <c r="F26" i="1" l="1"/>
  <c r="F25" i="1"/>
  <c r="F23" i="1"/>
  <c r="F22" i="1"/>
  <c r="F11" i="1"/>
  <c r="E11" i="1"/>
  <c r="C26" i="1" l="1"/>
  <c r="C23" i="1"/>
  <c r="C22" i="1"/>
  <c r="C21" i="1"/>
  <c r="C20" i="1"/>
  <c r="I8" i="1"/>
  <c r="F14" i="1"/>
  <c r="F13" i="1"/>
  <c r="F12" i="1"/>
  <c r="F10" i="1"/>
  <c r="F9" i="1"/>
  <c r="F8" i="1"/>
  <c r="F7" i="1"/>
  <c r="F6" i="1"/>
  <c r="F5" i="1"/>
  <c r="F4" i="1"/>
  <c r="E13" i="1"/>
  <c r="E12" i="1"/>
  <c r="E10" i="1"/>
  <c r="E9" i="1"/>
  <c r="E8" i="1"/>
  <c r="E7" i="1"/>
  <c r="E6" i="1"/>
  <c r="E5" i="1"/>
  <c r="E4" i="1"/>
  <c r="F15" i="1" l="1"/>
  <c r="F16" i="1" s="1"/>
</calcChain>
</file>

<file path=xl/sharedStrings.xml><?xml version="1.0" encoding="utf-8"?>
<sst xmlns="http://schemas.openxmlformats.org/spreadsheetml/2006/main" count="91" uniqueCount="77">
  <si>
    <t>PRECIFICAÇÃO</t>
  </si>
  <si>
    <t>INGREDIENTES</t>
  </si>
  <si>
    <t>CONSUMO kg/ml</t>
  </si>
  <si>
    <t>PESO TOTAL kg/ml</t>
  </si>
  <si>
    <t>PREÇO TOTAL</t>
  </si>
  <si>
    <t>PREÇO kg/ml</t>
  </si>
  <si>
    <t>PREÇO CONSUMO</t>
  </si>
  <si>
    <t xml:space="preserve">ABACAXI </t>
  </si>
  <si>
    <t>sal</t>
  </si>
  <si>
    <t>pimento do reino</t>
  </si>
  <si>
    <t>limão</t>
  </si>
  <si>
    <t>leite condensado</t>
  </si>
  <si>
    <t>palito</t>
  </si>
  <si>
    <t>toca</t>
  </si>
  <si>
    <t>gasolina</t>
  </si>
  <si>
    <t>papel toalha</t>
  </si>
  <si>
    <t>CUSTO MÉDIO UNITÁRIO</t>
  </si>
  <si>
    <t>MARGEM DE LUCRO</t>
  </si>
  <si>
    <t>VALOR MÉDIO UNITÁRIO</t>
  </si>
  <si>
    <t>INVESTIMENTO</t>
  </si>
  <si>
    <t>BENS</t>
  </si>
  <si>
    <t>VALOR</t>
  </si>
  <si>
    <t>carro ambulante</t>
  </si>
  <si>
    <t>faca</t>
  </si>
  <si>
    <t>avental</t>
  </si>
  <si>
    <t>TOTAL DE INVESTIMENTO</t>
  </si>
  <si>
    <t>recipiente para tempero 2</t>
  </si>
  <si>
    <t>CUSTO FIXO</t>
  </si>
  <si>
    <t>CUSTO VARIÁVEL</t>
  </si>
  <si>
    <t>CUSTO TOTAL</t>
  </si>
  <si>
    <t>MÊS</t>
  </si>
  <si>
    <t>prolabore</t>
  </si>
  <si>
    <t>PONTO DE EQUILÍBRIO</t>
  </si>
  <si>
    <t>RECEITA AO MÊS</t>
  </si>
  <si>
    <t>LUCRO</t>
  </si>
  <si>
    <t>TOTAL</t>
  </si>
  <si>
    <t>Quer saber mais sobre à abacaxi &amp; Cia,</t>
  </si>
  <si>
    <t>aponte a cámara do seu celular para o qrcode e acesse nosso site!</t>
  </si>
  <si>
    <t>ABACAXI &amp; CIA MEI</t>
  </si>
  <si>
    <t>embalagem</t>
  </si>
  <si>
    <t>carro ambulante 10 anos</t>
  </si>
  <si>
    <t>cecipiente para tempero 2 anos</t>
  </si>
  <si>
    <t>faca 3 anos</t>
  </si>
  <si>
    <t>avental 6 meses</t>
  </si>
  <si>
    <t>DEPRESIAÇÃO</t>
  </si>
  <si>
    <r>
      <t xml:space="preserve">taxa do  </t>
    </r>
    <r>
      <rPr>
        <b/>
        <sz val="11"/>
        <color theme="1"/>
        <rFont val="Calibri"/>
        <family val="2"/>
        <scheme val="minor"/>
      </rPr>
      <t>MEI</t>
    </r>
  </si>
  <si>
    <t>PROJEÇÃO DE VENDA AO 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</si>
  <si>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</si>
  <si>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</si>
  <si>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</si>
  <si>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</si>
  <si>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</si>
  <si>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</si>
  <si>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</si>
  <si>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</si>
  <si>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</si>
  <si>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</si>
  <si>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</si>
  <si>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</si>
  <si>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FLUXO DE CAIXA</t>
  </si>
  <si>
    <t>Valor:</t>
  </si>
  <si>
    <t>Descrição:</t>
  </si>
  <si>
    <t>Saldo do Dia:</t>
  </si>
  <si>
    <t>Subtotal:</t>
  </si>
  <si>
    <t>Total de entradas</t>
  </si>
  <si>
    <t>Valor total</t>
  </si>
  <si>
    <t xml:space="preserve"> </t>
  </si>
  <si>
    <t>Total de saídas</t>
  </si>
  <si>
    <t>Descrição da saída</t>
  </si>
  <si>
    <t>Valor da saída</t>
  </si>
  <si>
    <t>Descrição da Entrada</t>
  </si>
  <si>
    <t>Valor da Entrada</t>
  </si>
  <si>
    <t>Saldo Inicial:</t>
  </si>
  <si>
    <t>salario mês 04/10/2023</t>
  </si>
  <si>
    <t>faturamento  04/10/2023</t>
  </si>
  <si>
    <t>cartao de crédito</t>
  </si>
  <si>
    <t>SITUAÇÃO: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</si>
</sst>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&quot;R$&quot;\ #,##0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6" tint="0.39997558519241921"/>
      <name val="Wide Latin"/>
      <family val="1"/>
    </font>
    <font>
      <b/>
      <sz val="14"/>
      <color theme="6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Wide Latin"/>
      <family val="1"/>
    </font>
    <font>
      <sz val="16"/>
      <color theme="6" tint="0.39997558519241921"/>
      <name val="Wide Latin"/>
      <family val="1"/>
    </font>
    <font>
      <b/>
      <sz val="16"/>
      <color theme="1"/>
      <name val="Calibri"/>
      <family val="2"/>
      <scheme val="minor"/>
    </font>
    <font>
      <sz val="24"/>
      <color theme="6" tint="0.39997558519241921"/>
      <name val="Wide Latin"/>
      <family val="1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0"/>
      <name val="Arial"/>
      <family val="2"/>
    </font>
    <font>
      <u val="singleAccounting"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66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9" fillId="0" borderId="0" xfId="0" applyFont="1" applyAlignment="1"/>
    <xf numFmtId="0" fontId="9" fillId="0" borderId="0" xfId="0" applyFont="1" applyAlignment="1">
      <alignment horizontal="left"/>
    </xf>
    <xf numFmtId="0" fontId="14" fillId="4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4" fontId="13" fillId="0" borderId="0" xfId="0" applyNumberFormat="1" applyFont="1" applyBorder="1" applyProtection="1">
      <protection locked="0"/>
    </xf>
    <xf numFmtId="0" fontId="12" fillId="0" borderId="0" xfId="0" applyNumberFormat="1" applyFont="1" applyBorder="1" applyAlignment="1" applyProtection="1">
      <alignment horizontal="center"/>
      <protection locked="0"/>
    </xf>
    <xf numFmtId="44" fontId="13" fillId="0" borderId="1" xfId="0" applyNumberFormat="1" applyFont="1" applyBorder="1" applyAlignment="1" applyProtection="1">
      <alignment horizontal="center"/>
      <protection locked="0"/>
    </xf>
    <xf numFmtId="44" fontId="13" fillId="0" borderId="0" xfId="0" applyNumberFormat="1" applyFont="1" applyBorder="1" applyAlignment="1" applyProtection="1">
      <alignment horizontal="center"/>
      <protection locked="0"/>
    </xf>
    <xf numFmtId="9" fontId="13" fillId="0" borderId="0" xfId="1" applyNumberFormat="1" applyFon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0" fontId="13" fillId="0" borderId="0" xfId="0" applyNumberFormat="1" applyFont="1" applyBorder="1" applyAlignment="1" applyProtection="1">
      <alignment horizontal="center"/>
      <protection locked="0"/>
    </xf>
    <xf numFmtId="164" fontId="13" fillId="0" borderId="1" xfId="0" applyNumberFormat="1" applyFont="1" applyBorder="1" applyAlignment="1" applyProtection="1">
      <alignment horizontal="center"/>
      <protection locked="0"/>
    </xf>
    <xf numFmtId="9" fontId="0" fillId="0" borderId="0" xfId="1" applyFont="1" applyProtection="1">
      <protection locked="0"/>
    </xf>
    <xf numFmtId="0" fontId="11" fillId="0" borderId="0" xfId="0" applyFont="1" applyProtection="1">
      <protection locked="0"/>
    </xf>
    <xf numFmtId="9" fontId="13" fillId="0" borderId="0" xfId="1" applyFont="1" applyBorder="1" applyAlignment="1" applyProtection="1">
      <alignment horizontal="center"/>
      <protection locked="0"/>
    </xf>
    <xf numFmtId="44" fontId="11" fillId="0" borderId="0" xfId="0" applyNumberFormat="1" applyFont="1" applyBorder="1" applyAlignment="1" applyProtection="1">
      <alignment horizontal="right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44" fontId="15" fillId="0" borderId="0" xfId="0" applyNumberFormat="1" applyFont="1" applyBorder="1" applyAlignment="1" applyProtection="1">
      <alignment horizontal="center"/>
      <protection locked="0"/>
    </xf>
    <xf numFmtId="14" fontId="12" fillId="0" borderId="0" xfId="0" applyNumberFormat="1" applyFont="1" applyBorder="1" applyProtection="1">
      <protection locked="0"/>
    </xf>
    <xf numFmtId="14" fontId="13" fillId="4" borderId="0" xfId="0" applyNumberFormat="1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center"/>
      <protection locked="0"/>
    </xf>
    <xf numFmtId="0" fontId="11" fillId="0" borderId="0" xfId="0" applyNumberFormat="1" applyFont="1" applyFill="1" applyBorder="1" applyAlignment="1" applyProtection="1">
      <alignment horizontal="center"/>
      <protection locked="0"/>
    </xf>
    <xf numFmtId="44" fontId="11" fillId="0" borderId="0" xfId="0" applyNumberFormat="1" applyFont="1" applyFill="1" applyBorder="1" applyProtection="1">
      <protection locked="0"/>
    </xf>
    <xf numFmtId="9" fontId="11" fillId="0" borderId="0" xfId="1" applyFont="1" applyFill="1" applyBorder="1" applyAlignment="1" applyProtection="1">
      <alignment horizontal="center"/>
      <protection locked="0"/>
    </xf>
    <xf numFmtId="0" fontId="2" fillId="0" borderId="0" xfId="0" applyNumberFormat="1" applyFont="1" applyFill="1" applyBorder="1" applyProtection="1">
      <protection locked="0"/>
    </xf>
    <xf numFmtId="44" fontId="13" fillId="0" borderId="0" xfId="0" applyNumberFormat="1" applyFont="1" applyBorder="1" applyAlignment="1" applyProtection="1">
      <alignment horizontal="center"/>
      <protection locked="0" hidden="1"/>
    </xf>
    <xf numFmtId="0" fontId="16" fillId="0" borderId="0" xfId="0" applyNumberFormat="1" applyFont="1" applyBorder="1" applyAlignment="1" applyProtection="1">
      <alignment horizontal="left"/>
      <protection hidden="1"/>
    </xf>
    <xf numFmtId="164" fontId="11" fillId="0" borderId="1" xfId="0" applyNumberFormat="1" applyFont="1" applyBorder="1" applyAlignment="1" applyProtection="1">
      <alignment horizontal="center"/>
      <protection hidden="1"/>
    </xf>
    <xf numFmtId="0" fontId="0" fillId="0" borderId="0" xfId="0" applyProtection="1">
      <protection locked="0" hidden="1"/>
    </xf>
    <xf numFmtId="0" fontId="12" fillId="0" borderId="0" xfId="0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/>
      <protection locked="0" hidden="1"/>
    </xf>
    <xf numFmtId="44" fontId="13" fillId="0" borderId="1" xfId="0" applyNumberFormat="1" applyFont="1" applyBorder="1" applyAlignment="1" applyProtection="1">
      <alignment horizontal="center"/>
      <protection locked="0" hidden="1"/>
    </xf>
    <xf numFmtId="164" fontId="13" fillId="0" borderId="1" xfId="0" applyNumberFormat="1" applyFont="1" applyBorder="1" applyAlignment="1" applyProtection="1">
      <alignment horizontal="center"/>
      <protection locked="0" hidden="1"/>
    </xf>
    <xf numFmtId="164" fontId="0" fillId="0" borderId="0" xfId="0" applyNumberFormat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10" fillId="2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 applyProtection="1">
      <alignment horizontal="center"/>
      <protection locked="0"/>
    </xf>
    <xf numFmtId="0" fontId="2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2" fillId="0" borderId="1" xfId="0" applyFont="1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4" fontId="0" fillId="0" borderId="1" xfId="0" applyNumberFormat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44" fontId="0" fillId="0" borderId="5" xfId="0" applyNumberFormat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6" fillId="2" borderId="0" xfId="0" applyFont="1" applyFill="1" applyBorder="1" applyProtection="1">
      <protection locked="0"/>
    </xf>
    <xf numFmtId="9" fontId="6" fillId="2" borderId="0" xfId="1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3" xfId="0" applyFont="1" applyFill="1" applyBorder="1" applyAlignment="1" applyProtection="1">
      <alignment horizontal="center"/>
      <protection locked="0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0" fontId="2" fillId="0" borderId="2" xfId="0" applyFont="1" applyFill="1" applyBorder="1" applyAlignment="1" applyProtection="1">
      <alignment horizontal="left"/>
      <protection locked="0"/>
    </xf>
    <xf numFmtId="0" fontId="2" fillId="0" borderId="4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Protection="1">
      <protection locked="0"/>
    </xf>
    <xf numFmtId="0" fontId="6" fillId="0" borderId="1" xfId="0" applyFont="1" applyFill="1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2" fillId="0" borderId="1" xfId="0" applyFont="1" applyFill="1" applyBorder="1" applyAlignment="1" applyProtection="1">
      <alignment horizontal="left"/>
      <protection locked="0"/>
    </xf>
    <xf numFmtId="0" fontId="0" fillId="3" borderId="0" xfId="0" applyFill="1" applyBorder="1" applyProtection="1">
      <protection locked="0"/>
    </xf>
    <xf numFmtId="44" fontId="2" fillId="3" borderId="0" xfId="0" applyNumberFormat="1" applyFont="1" applyFill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right"/>
      <protection locked="0"/>
    </xf>
    <xf numFmtId="0" fontId="0" fillId="0" borderId="2" xfId="0" applyBorder="1" applyProtection="1">
      <protection locked="0"/>
    </xf>
    <xf numFmtId="0" fontId="0" fillId="0" borderId="4" xfId="0" applyBorder="1" applyProtection="1">
      <protection locked="0"/>
    </xf>
    <xf numFmtId="0" fontId="2" fillId="2" borderId="2" xfId="0" applyFont="1" applyFill="1" applyBorder="1" applyProtection="1">
      <protection locked="0"/>
    </xf>
    <xf numFmtId="0" fontId="2" fillId="2" borderId="4" xfId="0" applyFont="1" applyFill="1" applyBorder="1" applyProtection="1"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2" fillId="2" borderId="4" xfId="0" applyFont="1" applyFill="1" applyBorder="1" applyAlignment="1" applyProtection="1">
      <alignment horizontal="left"/>
      <protection locked="0"/>
    </xf>
    <xf numFmtId="44" fontId="0" fillId="0" borderId="1" xfId="0" applyNumberFormat="1" applyBorder="1" applyProtection="1">
      <protection hidden="1"/>
    </xf>
    <xf numFmtId="44" fontId="0" fillId="0" borderId="5" xfId="0" applyNumberFormat="1" applyBorder="1" applyProtection="1">
      <protection hidden="1"/>
    </xf>
    <xf numFmtId="44" fontId="5" fillId="2" borderId="0" xfId="0" applyNumberFormat="1" applyFont="1" applyFill="1" applyBorder="1" applyProtection="1">
      <protection hidden="1"/>
    </xf>
    <xf numFmtId="44" fontId="2" fillId="2" borderId="1" xfId="0" applyNumberFormat="1" applyFont="1" applyFill="1" applyBorder="1" applyProtection="1">
      <protection hidden="1"/>
    </xf>
    <xf numFmtId="44" fontId="2" fillId="0" borderId="1" xfId="0" applyNumberFormat="1" applyFont="1" applyBorder="1" applyProtection="1">
      <protection hidden="1"/>
    </xf>
    <xf numFmtId="44" fontId="2" fillId="0" borderId="1" xfId="0" applyNumberFormat="1" applyFont="1" applyBorder="1" applyAlignment="1" applyProtection="1">
      <alignment horizontal="right"/>
      <protection hidden="1"/>
    </xf>
    <xf numFmtId="44" fontId="0" fillId="0" borderId="1" xfId="0" applyNumberFormat="1" applyFill="1" applyBorder="1" applyProtection="1">
      <protection hidden="1"/>
    </xf>
  </cellXfs>
  <cellStyles count="2">
    <cellStyle name="Normal" xfId="0" builtinId="0"/>
    <cellStyle name="Porcentagem" xfId="1" builtinId="5"/>
  </cellStyles>
  <dxfs count="3">
    <dxf>
      <font>
        <color rgb="FF336600"/>
      </font>
    </dxf>
    <dxf>
      <font>
        <color rgb="FFC00000"/>
      </font>
    </dxf>
    <dxf>
      <font>
        <color rgb="FFFFC000"/>
      </font>
    </dxf>
  </dxfs>
  <tableStyles count="0" defaultTableStyle="TableStyleMedium2" defaultPivotStyle="PivotStyleLight16"/>
  <colors>
    <mruColors>
      <color rgb="FF336600"/>
      <color rgb="FF008000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</xdr:row>
      <xdr:rowOff>161926</xdr:rowOff>
    </xdr:from>
    <xdr:to>
      <xdr:col>5</xdr:col>
      <xdr:colOff>57149</xdr:colOff>
      <xdr:row>4</xdr:row>
      <xdr:rowOff>1</xdr:rowOff>
    </xdr:to>
    <xdr:sp macro="[0]!lancar_entrada" textlink="">
      <xdr:nvSpPr>
        <xdr:cNvPr id="3" name="Retângulo de cantos arredondados 2"/>
        <xdr:cNvSpPr/>
      </xdr:nvSpPr>
      <xdr:spPr>
        <a:xfrm>
          <a:off x="4352925" y="847726"/>
          <a:ext cx="1295399" cy="342900"/>
        </a:xfrm>
        <a:prstGeom prst="round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LANÇAR ENTRADA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133350</xdr:colOff>
      <xdr:row>1</xdr:row>
      <xdr:rowOff>171451</xdr:rowOff>
    </xdr:from>
    <xdr:to>
      <xdr:col>5</xdr:col>
      <xdr:colOff>1447800</xdr:colOff>
      <xdr:row>4</xdr:row>
      <xdr:rowOff>9526</xdr:rowOff>
    </xdr:to>
    <xdr:sp macro="[0]!lancar_saida" textlink="">
      <xdr:nvSpPr>
        <xdr:cNvPr id="4" name="Retângulo de cantos arredondados 3"/>
        <xdr:cNvSpPr/>
      </xdr:nvSpPr>
      <xdr:spPr>
        <a:xfrm>
          <a:off x="5724525" y="857251"/>
          <a:ext cx="1314450" cy="3429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LANÇAR SAÍDA</a:t>
          </a:r>
        </a:p>
      </xdr:txBody>
    </xdr:sp>
    <xdr:clientData/>
  </xdr:twoCellAnchor>
  <xdr:twoCellAnchor>
    <xdr:from>
      <xdr:col>5</xdr:col>
      <xdr:colOff>1581150</xdr:colOff>
      <xdr:row>1</xdr:row>
      <xdr:rowOff>171450</xdr:rowOff>
    </xdr:from>
    <xdr:to>
      <xdr:col>6</xdr:col>
      <xdr:colOff>619125</xdr:colOff>
      <xdr:row>4</xdr:row>
      <xdr:rowOff>9525</xdr:rowOff>
    </xdr:to>
    <xdr:sp macro="[0]!limpar_entrada" textlink="">
      <xdr:nvSpPr>
        <xdr:cNvPr id="2" name="Retângulo de cantos arredondados 1"/>
        <xdr:cNvSpPr/>
      </xdr:nvSpPr>
      <xdr:spPr>
        <a:xfrm>
          <a:off x="7172325" y="857250"/>
          <a:ext cx="885825" cy="342900"/>
        </a:xfrm>
        <a:prstGeom prst="round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LIMPAR</a:t>
          </a:r>
          <a:r>
            <a:rPr lang="pt-BR" sz="1100" baseline="0"/>
            <a:t> </a:t>
          </a:r>
          <a:endParaRPr lang="pt-BR" sz="1100"/>
        </a:p>
      </xdr:txBody>
    </xdr:sp>
    <xdr:clientData/>
  </xdr:twoCellAnchor>
  <xdr:twoCellAnchor>
    <xdr:from>
      <xdr:col>6</xdr:col>
      <xdr:colOff>685800</xdr:colOff>
      <xdr:row>1</xdr:row>
      <xdr:rowOff>180975</xdr:rowOff>
    </xdr:from>
    <xdr:to>
      <xdr:col>7</xdr:col>
      <xdr:colOff>666750</xdr:colOff>
      <xdr:row>4</xdr:row>
      <xdr:rowOff>19050</xdr:rowOff>
    </xdr:to>
    <xdr:sp macro="[0]!limpar_saida" textlink="">
      <xdr:nvSpPr>
        <xdr:cNvPr id="5" name="Retângulo de cantos arredondados 4"/>
        <xdr:cNvSpPr/>
      </xdr:nvSpPr>
      <xdr:spPr>
        <a:xfrm>
          <a:off x="8124825" y="866775"/>
          <a:ext cx="885825" cy="3429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6</xdr:col>
      <xdr:colOff>419100</xdr:colOff>
      <xdr:row>23</xdr:row>
      <xdr:rowOff>123825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52500"/>
          <a:ext cx="2857500" cy="3552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I26"/>
  <sheetViews>
    <sheetView workbookViewId="0">
      <selection activeCell="H16" sqref="H16"/>
    </sheetView>
  </sheetViews>
  <sheetFormatPr defaultRowHeight="15" x14ac:dyDescent="0.25"/>
  <cols>
    <col min="1" max="1" width="29.28515625" style="5" bestFit="1" customWidth="1"/>
    <col min="2" max="2" width="16.140625" style="5" bestFit="1" customWidth="1"/>
    <col min="3" max="3" width="17.42578125" style="5" bestFit="1" customWidth="1"/>
    <col min="4" max="4" width="12.85546875" style="5" bestFit="1" customWidth="1"/>
    <col min="5" max="5" width="14.5703125" style="5" customWidth="1"/>
    <col min="6" max="6" width="16.85546875" style="5" bestFit="1" customWidth="1"/>
    <col min="7" max="7" width="9.140625" style="5"/>
    <col min="8" max="8" width="24.42578125" style="5" bestFit="1" customWidth="1"/>
    <col min="9" max="9" width="12.140625" style="5" bestFit="1" customWidth="1"/>
    <col min="10" max="16384" width="9.140625" style="5"/>
  </cols>
  <sheetData>
    <row r="1" spans="1:9" ht="33.75" x14ac:dyDescent="0.5">
      <c r="A1" s="45" t="s">
        <v>38</v>
      </c>
      <c r="B1" s="45"/>
      <c r="C1" s="45"/>
      <c r="D1" s="45"/>
      <c r="E1" s="45"/>
      <c r="F1" s="45"/>
      <c r="G1" s="46"/>
    </row>
    <row r="2" spans="1:9" ht="18.75" x14ac:dyDescent="0.3">
      <c r="A2" s="47" t="s">
        <v>0</v>
      </c>
      <c r="B2" s="47"/>
      <c r="C2" s="47"/>
      <c r="D2" s="47"/>
      <c r="E2" s="47"/>
      <c r="F2" s="47"/>
      <c r="G2" s="7"/>
      <c r="H2" s="48" t="s">
        <v>19</v>
      </c>
      <c r="I2" s="49"/>
    </row>
    <row r="3" spans="1:9" x14ac:dyDescent="0.25">
      <c r="A3" s="50" t="s">
        <v>1</v>
      </c>
      <c r="B3" s="50" t="s">
        <v>2</v>
      </c>
      <c r="C3" s="50" t="s">
        <v>3</v>
      </c>
      <c r="D3" s="50" t="s">
        <v>4</v>
      </c>
      <c r="E3" s="50" t="s">
        <v>5</v>
      </c>
      <c r="F3" s="50" t="s">
        <v>6</v>
      </c>
      <c r="G3" s="51"/>
      <c r="H3" s="52" t="s">
        <v>20</v>
      </c>
      <c r="I3" s="52" t="s">
        <v>21</v>
      </c>
    </row>
    <row r="4" spans="1:9" x14ac:dyDescent="0.25">
      <c r="A4" s="53" t="s">
        <v>7</v>
      </c>
      <c r="B4" s="43">
        <v>1</v>
      </c>
      <c r="C4" s="43">
        <v>1</v>
      </c>
      <c r="D4" s="54">
        <v>2.2999999999999998</v>
      </c>
      <c r="E4" s="90">
        <f t="shared" ref="E4:E13" si="0">D4/C4</f>
        <v>2.2999999999999998</v>
      </c>
      <c r="F4" s="90">
        <f t="shared" ref="F4:F11" si="1">E4*B4</f>
        <v>2.2999999999999998</v>
      </c>
      <c r="G4" s="51"/>
      <c r="H4" s="53" t="s">
        <v>22</v>
      </c>
      <c r="I4" s="54">
        <v>1980.35</v>
      </c>
    </row>
    <row r="5" spans="1:9" x14ac:dyDescent="0.25">
      <c r="A5" s="53" t="s">
        <v>8</v>
      </c>
      <c r="B5" s="43">
        <v>2</v>
      </c>
      <c r="C5" s="43">
        <v>1000</v>
      </c>
      <c r="D5" s="54">
        <v>1.55</v>
      </c>
      <c r="E5" s="90">
        <f t="shared" si="0"/>
        <v>1.5499999999999999E-3</v>
      </c>
      <c r="F5" s="90">
        <f t="shared" si="1"/>
        <v>3.0999999999999999E-3</v>
      </c>
      <c r="G5" s="51"/>
      <c r="H5" s="53" t="s">
        <v>26</v>
      </c>
      <c r="I5" s="54">
        <v>22.99</v>
      </c>
    </row>
    <row r="6" spans="1:9" x14ac:dyDescent="0.25">
      <c r="A6" s="53" t="s">
        <v>9</v>
      </c>
      <c r="B6" s="43">
        <v>5</v>
      </c>
      <c r="C6" s="43">
        <v>500</v>
      </c>
      <c r="D6" s="54">
        <v>28.9</v>
      </c>
      <c r="E6" s="90">
        <f t="shared" si="0"/>
        <v>5.7799999999999997E-2</v>
      </c>
      <c r="F6" s="90">
        <f t="shared" si="1"/>
        <v>0.28899999999999998</v>
      </c>
      <c r="G6" s="51"/>
      <c r="H6" s="53" t="s">
        <v>23</v>
      </c>
      <c r="I6" s="54">
        <v>23.85</v>
      </c>
    </row>
    <row r="7" spans="1:9" x14ac:dyDescent="0.25">
      <c r="A7" s="53" t="s">
        <v>10</v>
      </c>
      <c r="B7" s="43">
        <v>15</v>
      </c>
      <c r="C7" s="43">
        <v>1000</v>
      </c>
      <c r="D7" s="54">
        <v>7.69</v>
      </c>
      <c r="E7" s="90">
        <f t="shared" si="0"/>
        <v>7.6900000000000007E-3</v>
      </c>
      <c r="F7" s="90">
        <f t="shared" si="1"/>
        <v>0.11535000000000001</v>
      </c>
      <c r="G7" s="51"/>
      <c r="H7" s="53" t="s">
        <v>24</v>
      </c>
      <c r="I7" s="54">
        <v>19.13</v>
      </c>
    </row>
    <row r="8" spans="1:9" x14ac:dyDescent="0.25">
      <c r="A8" s="53" t="s">
        <v>11</v>
      </c>
      <c r="B8" s="43">
        <v>20</v>
      </c>
      <c r="C8" s="43">
        <v>395</v>
      </c>
      <c r="D8" s="54">
        <v>5.78</v>
      </c>
      <c r="E8" s="90">
        <f t="shared" si="0"/>
        <v>1.4632911392405063E-2</v>
      </c>
      <c r="F8" s="90">
        <f t="shared" si="1"/>
        <v>0.29265822784810125</v>
      </c>
      <c r="G8" s="51"/>
      <c r="H8" s="55" t="s">
        <v>25</v>
      </c>
      <c r="I8" s="93">
        <f>SUM(I4:I7)</f>
        <v>2046.32</v>
      </c>
    </row>
    <row r="9" spans="1:9" x14ac:dyDescent="0.25">
      <c r="A9" s="53" t="s">
        <v>12</v>
      </c>
      <c r="B9" s="43">
        <v>3</v>
      </c>
      <c r="C9" s="43">
        <v>100</v>
      </c>
      <c r="D9" s="54">
        <v>1.19</v>
      </c>
      <c r="E9" s="90">
        <f t="shared" si="0"/>
        <v>1.1899999999999999E-2</v>
      </c>
      <c r="F9" s="90">
        <f t="shared" si="1"/>
        <v>3.5699999999999996E-2</v>
      </c>
      <c r="G9" s="51"/>
    </row>
    <row r="10" spans="1:9" x14ac:dyDescent="0.25">
      <c r="A10" s="53" t="s">
        <v>15</v>
      </c>
      <c r="B10" s="43">
        <v>1</v>
      </c>
      <c r="C10" s="43">
        <v>1000</v>
      </c>
      <c r="D10" s="54">
        <v>14.48</v>
      </c>
      <c r="E10" s="90">
        <f t="shared" si="0"/>
        <v>1.448E-2</v>
      </c>
      <c r="F10" s="90">
        <f t="shared" si="1"/>
        <v>1.448E-2</v>
      </c>
      <c r="G10" s="51"/>
    </row>
    <row r="11" spans="1:9" x14ac:dyDescent="0.25">
      <c r="A11" s="53" t="s">
        <v>39</v>
      </c>
      <c r="B11" s="43">
        <v>1</v>
      </c>
      <c r="C11" s="43">
        <v>1000</v>
      </c>
      <c r="D11" s="54">
        <v>35</v>
      </c>
      <c r="E11" s="90">
        <f t="shared" si="0"/>
        <v>3.5000000000000003E-2</v>
      </c>
      <c r="F11" s="90">
        <f t="shared" si="1"/>
        <v>3.5000000000000003E-2</v>
      </c>
      <c r="G11" s="51"/>
    </row>
    <row r="12" spans="1:9" x14ac:dyDescent="0.25">
      <c r="A12" s="53" t="s">
        <v>13</v>
      </c>
      <c r="B12" s="43">
        <v>6</v>
      </c>
      <c r="C12" s="43">
        <v>100</v>
      </c>
      <c r="D12" s="54">
        <v>14.99</v>
      </c>
      <c r="E12" s="90">
        <f t="shared" si="0"/>
        <v>0.14990000000000001</v>
      </c>
      <c r="F12" s="90">
        <f>E12/B12</f>
        <v>2.4983333333333333E-2</v>
      </c>
      <c r="G12" s="51"/>
    </row>
    <row r="13" spans="1:9" x14ac:dyDescent="0.25">
      <c r="A13" s="56" t="s">
        <v>14</v>
      </c>
      <c r="B13" s="57">
        <v>1000</v>
      </c>
      <c r="C13" s="58">
        <v>1000</v>
      </c>
      <c r="D13" s="59">
        <v>5.54</v>
      </c>
      <c r="E13" s="91">
        <f t="shared" si="0"/>
        <v>5.5399999999999998E-3</v>
      </c>
      <c r="F13" s="91">
        <f>E13*B13</f>
        <v>5.54</v>
      </c>
    </row>
    <row r="14" spans="1:9" x14ac:dyDescent="0.25">
      <c r="A14" s="60" t="s">
        <v>16</v>
      </c>
      <c r="B14" s="61"/>
      <c r="C14" s="61"/>
      <c r="D14" s="61"/>
      <c r="E14" s="61"/>
      <c r="F14" s="92">
        <f>SUM(F4:F13)</f>
        <v>8.6502715611814338</v>
      </c>
    </row>
    <row r="15" spans="1:9" x14ac:dyDescent="0.25">
      <c r="A15" s="60" t="s">
        <v>17</v>
      </c>
      <c r="B15" s="62">
        <v>0.44500000000000001</v>
      </c>
      <c r="C15" s="61"/>
      <c r="D15" s="61"/>
      <c r="E15" s="61"/>
      <c r="F15" s="92">
        <f>F14*B15</f>
        <v>3.8493708447257382</v>
      </c>
    </row>
    <row r="16" spans="1:9" x14ac:dyDescent="0.25">
      <c r="A16" s="60" t="s">
        <v>18</v>
      </c>
      <c r="B16" s="61"/>
      <c r="C16" s="61"/>
      <c r="D16" s="61"/>
      <c r="E16" s="61"/>
      <c r="F16" s="92">
        <f>F14+F15</f>
        <v>12.499642405907172</v>
      </c>
    </row>
    <row r="18" spans="1:9" x14ac:dyDescent="0.25">
      <c r="A18" s="63" t="s">
        <v>27</v>
      </c>
      <c r="B18" s="63"/>
      <c r="C18" s="63"/>
      <c r="D18" s="64" t="s">
        <v>28</v>
      </c>
      <c r="E18" s="65"/>
      <c r="F18" s="66"/>
    </row>
    <row r="19" spans="1:9" x14ac:dyDescent="0.25">
      <c r="A19" s="67" t="s">
        <v>44</v>
      </c>
      <c r="B19" s="52" t="s">
        <v>30</v>
      </c>
      <c r="C19" s="52" t="s">
        <v>21</v>
      </c>
      <c r="D19" s="68" t="s">
        <v>46</v>
      </c>
      <c r="E19" s="69"/>
      <c r="F19" s="70">
        <v>600</v>
      </c>
    </row>
    <row r="20" spans="1:9" x14ac:dyDescent="0.25">
      <c r="A20" s="71" t="s">
        <v>40</v>
      </c>
      <c r="B20" s="72">
        <v>120</v>
      </c>
      <c r="C20" s="96">
        <f>I4/B20</f>
        <v>16.502916666666668</v>
      </c>
      <c r="D20" s="73" t="s">
        <v>32</v>
      </c>
      <c r="E20" s="73"/>
      <c r="F20" s="70">
        <v>566</v>
      </c>
    </row>
    <row r="21" spans="1:9" x14ac:dyDescent="0.25">
      <c r="A21" s="71" t="s">
        <v>41</v>
      </c>
      <c r="B21" s="72">
        <v>24</v>
      </c>
      <c r="C21" s="96">
        <f>I5/B21</f>
        <v>0.95791666666666664</v>
      </c>
      <c r="D21" s="74"/>
      <c r="E21" s="74"/>
      <c r="F21" s="75"/>
      <c r="I21" s="76"/>
    </row>
    <row r="22" spans="1:9" x14ac:dyDescent="0.25">
      <c r="A22" s="53" t="s">
        <v>42</v>
      </c>
      <c r="B22" s="43">
        <v>36</v>
      </c>
      <c r="C22" s="90">
        <f>I6/B22</f>
        <v>0.66250000000000009</v>
      </c>
      <c r="D22" s="77" t="s">
        <v>28</v>
      </c>
      <c r="E22" s="78"/>
      <c r="F22" s="94">
        <f>F19*F14</f>
        <v>5190.1629367088599</v>
      </c>
    </row>
    <row r="23" spans="1:9" x14ac:dyDescent="0.25">
      <c r="A23" s="53" t="s">
        <v>43</v>
      </c>
      <c r="B23" s="43">
        <v>6</v>
      </c>
      <c r="C23" s="90">
        <f>I7/B23</f>
        <v>3.188333333333333</v>
      </c>
      <c r="D23" s="77" t="s">
        <v>29</v>
      </c>
      <c r="E23" s="78"/>
      <c r="F23" s="95">
        <f>F22+C26</f>
        <v>7071.3746033755269</v>
      </c>
    </row>
    <row r="24" spans="1:9" x14ac:dyDescent="0.25">
      <c r="A24" s="79" t="s">
        <v>45</v>
      </c>
      <c r="B24" s="80"/>
      <c r="C24" s="54">
        <v>59.9</v>
      </c>
      <c r="D24" s="81"/>
      <c r="E24" s="82"/>
      <c r="F24" s="83"/>
    </row>
    <row r="25" spans="1:9" x14ac:dyDescent="0.25">
      <c r="A25" s="84" t="s">
        <v>31</v>
      </c>
      <c r="B25" s="85"/>
      <c r="C25" s="54">
        <v>1800</v>
      </c>
      <c r="D25" s="77" t="s">
        <v>33</v>
      </c>
      <c r="E25" s="78"/>
      <c r="F25" s="94">
        <f>F16*F19</f>
        <v>7499.7854435443032</v>
      </c>
    </row>
    <row r="26" spans="1:9" x14ac:dyDescent="0.25">
      <c r="A26" s="86" t="s">
        <v>35</v>
      </c>
      <c r="B26" s="87"/>
      <c r="C26" s="93">
        <f>SUM(C20:C25)</f>
        <v>1881.2116666666666</v>
      </c>
      <c r="D26" s="88" t="s">
        <v>34</v>
      </c>
      <c r="E26" s="89"/>
      <c r="F26" s="93">
        <f>F25-F23</f>
        <v>428.4108401687763</v>
      </c>
    </row>
  </sheetData>
  <sheetProtection password="CF7A" sheet="1" objects="1" scenarios="1"/>
  <mergeCells count="14">
    <mergeCell ref="A1:F1"/>
    <mergeCell ref="A2:F2"/>
    <mergeCell ref="H2:I2"/>
    <mergeCell ref="A18:C18"/>
    <mergeCell ref="A25:B25"/>
    <mergeCell ref="A24:B24"/>
    <mergeCell ref="A26:B26"/>
    <mergeCell ref="D18:F18"/>
    <mergeCell ref="D19:E19"/>
    <mergeCell ref="D20:E20"/>
    <mergeCell ref="D22:E22"/>
    <mergeCell ref="D23:E23"/>
    <mergeCell ref="D25:E25"/>
    <mergeCell ref="D26:E26"/>
  </mergeCells>
  <pageMargins left="0.51181102362204722" right="0.51181102362204722" top="0.78740157480314965" bottom="0.78740157480314965" header="0.31496062992125984" footer="0.31496062992125984"/>
  <pageSetup paperSize="9" scale="8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F36"/>
  <sheetViews>
    <sheetView showGridLines="0" tabSelected="1" zoomScaleNormal="100" workbookViewId="0">
      <selection activeCell="C3" sqref="C3"/>
    </sheetView>
  </sheetViews>
  <sheetFormatPr defaultColWidth="0" defaultRowHeight="15" zeroHeight="1" x14ac:dyDescent="0.25"/>
  <cols>
    <col min="1" max="1" width="13.85546875" style="5" bestFit="1" customWidth="1"/>
    <col min="2" max="2" width="13.140625" style="5" bestFit="1" customWidth="1"/>
    <col min="3" max="3" width="30.42578125" style="5" customWidth="1"/>
    <col min="4" max="4" width="13.5703125" style="5" bestFit="1" customWidth="1"/>
    <col min="5" max="5" width="14.85546875" style="5" bestFit="1" customWidth="1"/>
    <col min="6" max="6" width="27.7109375" style="5" customWidth="1"/>
    <col min="7" max="7" width="13.5703125" style="5" bestFit="1" customWidth="1"/>
    <col min="8" max="8" width="10.85546875" style="5" bestFit="1" customWidth="1"/>
    <col min="9" max="9" width="5.140625" style="5" hidden="1" customWidth="1"/>
    <col min="10" max="10" width="4" style="5" hidden="1" customWidth="1"/>
    <col min="11" max="11" width="4.85546875" style="5" hidden="1" customWidth="1"/>
    <col min="12" max="12" width="5.140625" style="5" hidden="1" customWidth="1"/>
    <col min="13" max="13" width="4.28515625" style="5" hidden="1" customWidth="1"/>
    <col min="14" max="31" width="9.140625" style="5" hidden="1" customWidth="1"/>
    <col min="32" max="32" width="11.5703125" style="5" hidden="1" customWidth="1"/>
    <col min="33" max="16384" width="9.140625" style="5" hidden="1"/>
  </cols>
  <sheetData>
    <row r="1" spans="1:32" ht="54" customHeight="1" x14ac:dyDescent="0.35">
      <c r="A1" s="3" t="s">
        <v>59</v>
      </c>
      <c r="B1" s="3"/>
      <c r="C1" s="3"/>
      <c r="D1" s="3"/>
      <c r="E1" s="3"/>
      <c r="F1" s="3"/>
      <c r="G1" s="3"/>
      <c r="H1" s="3"/>
      <c r="I1" s="4"/>
      <c r="J1" s="4"/>
      <c r="K1" s="4"/>
      <c r="L1" s="4"/>
      <c r="M1" s="4"/>
    </row>
    <row r="2" spans="1:32" x14ac:dyDescent="0.25">
      <c r="A2" s="6"/>
      <c r="B2" s="6"/>
      <c r="C2" s="6"/>
      <c r="D2" s="6"/>
      <c r="E2" s="6"/>
      <c r="F2" s="6"/>
      <c r="G2" s="6"/>
      <c r="H2" s="6"/>
      <c r="I2" s="7"/>
      <c r="J2" s="7"/>
      <c r="K2" s="7"/>
      <c r="L2" s="7"/>
      <c r="M2" s="7"/>
    </row>
    <row r="3" spans="1:32" ht="18.75" x14ac:dyDescent="0.3">
      <c r="A3" s="8"/>
      <c r="B3" s="9" t="s">
        <v>61</v>
      </c>
      <c r="C3" s="10" t="s">
        <v>66</v>
      </c>
      <c r="D3" s="11"/>
      <c r="E3" s="11"/>
      <c r="F3" s="11"/>
      <c r="G3" s="11"/>
      <c r="H3" s="12"/>
      <c r="I3" s="13"/>
      <c r="J3" s="13"/>
      <c r="K3" s="13"/>
      <c r="L3" s="13"/>
      <c r="M3" s="13"/>
    </row>
    <row r="4" spans="1:32" ht="6" customHeight="1" x14ac:dyDescent="0.25">
      <c r="A4" s="8"/>
      <c r="B4" s="14"/>
      <c r="C4" s="11"/>
      <c r="D4" s="11"/>
      <c r="E4" s="11"/>
      <c r="F4" s="11"/>
      <c r="G4" s="11"/>
      <c r="H4" s="12"/>
      <c r="I4" s="13"/>
      <c r="J4" s="13"/>
      <c r="K4" s="13"/>
      <c r="L4" s="13"/>
      <c r="M4" s="13"/>
    </row>
    <row r="5" spans="1:32" ht="18.75" x14ac:dyDescent="0.3">
      <c r="A5" s="8"/>
      <c r="B5" s="9" t="s">
        <v>60</v>
      </c>
      <c r="C5" s="15" t="s">
        <v>66</v>
      </c>
      <c r="D5" s="11"/>
      <c r="E5" s="11"/>
      <c r="F5" s="11"/>
      <c r="G5" s="11"/>
      <c r="H5" s="12"/>
      <c r="I5" s="13"/>
      <c r="J5" s="13"/>
      <c r="K5" s="13"/>
      <c r="L5" s="13"/>
      <c r="M5" s="13"/>
      <c r="O5" s="16"/>
      <c r="AF5" s="17" t="s">
        <v>47</v>
      </c>
    </row>
    <row r="6" spans="1:32" ht="15.75" x14ac:dyDescent="0.25">
      <c r="A6" s="8"/>
      <c r="B6" s="14"/>
      <c r="C6" s="11"/>
      <c r="D6" s="11"/>
      <c r="E6" s="11"/>
      <c r="F6" s="11"/>
      <c r="G6" s="11"/>
      <c r="H6" s="18"/>
      <c r="I6" s="13"/>
      <c r="J6" s="13"/>
      <c r="K6" s="13"/>
      <c r="L6" s="13"/>
      <c r="M6" s="13"/>
      <c r="AF6" s="17" t="s">
        <v>48</v>
      </c>
    </row>
    <row r="7" spans="1:32" ht="18" x14ac:dyDescent="0.4">
      <c r="A7" s="8"/>
      <c r="B7" s="14"/>
      <c r="C7" s="11"/>
      <c r="D7" s="11"/>
      <c r="E7" s="19" t="s">
        <v>72</v>
      </c>
      <c r="F7" s="20">
        <v>1000</v>
      </c>
      <c r="G7" s="21"/>
      <c r="H7" s="18"/>
      <c r="I7" s="13"/>
      <c r="J7" s="13"/>
      <c r="K7" s="13"/>
      <c r="L7" s="13"/>
      <c r="M7" s="13"/>
      <c r="AF7" s="17" t="s">
        <v>49</v>
      </c>
    </row>
    <row r="8" spans="1:32" ht="15.75" x14ac:dyDescent="0.25">
      <c r="A8" s="8"/>
      <c r="B8" s="14"/>
      <c r="C8" s="11"/>
      <c r="D8" s="11"/>
      <c r="E8" s="11"/>
      <c r="F8" s="11"/>
      <c r="G8" s="11"/>
      <c r="H8" s="18"/>
      <c r="I8" s="13"/>
      <c r="J8" s="13"/>
      <c r="K8" s="13"/>
      <c r="L8" s="13"/>
      <c r="M8" s="13"/>
      <c r="AF8" s="17" t="s">
        <v>50</v>
      </c>
    </row>
    <row r="9" spans="1:32" ht="15.75" x14ac:dyDescent="0.25">
      <c r="A9" s="8"/>
      <c r="B9" s="14"/>
      <c r="C9" s="11"/>
      <c r="D9" s="11"/>
      <c r="E9" s="19" t="s">
        <v>62</v>
      </c>
      <c r="F9" s="32">
        <f>entrada!B3-saida!B3</f>
        <v>0</v>
      </c>
      <c r="G9" s="30"/>
      <c r="H9" s="18"/>
      <c r="I9" s="13"/>
      <c r="J9" s="13"/>
      <c r="K9" s="13"/>
      <c r="L9" s="13"/>
      <c r="M9" s="13"/>
      <c r="AF9" s="17" t="s">
        <v>51</v>
      </c>
    </row>
    <row r="10" spans="1:32" ht="15.75" x14ac:dyDescent="0.25">
      <c r="A10" s="8"/>
      <c r="B10" s="14"/>
      <c r="C10" s="11"/>
      <c r="D10" s="11"/>
      <c r="E10" s="11"/>
      <c r="F10" s="11"/>
      <c r="G10" s="11"/>
      <c r="H10" s="18"/>
      <c r="I10" s="13"/>
      <c r="J10" s="13"/>
      <c r="K10" s="13"/>
      <c r="L10" s="13"/>
      <c r="M10" s="13"/>
      <c r="AF10" s="17" t="s">
        <v>52</v>
      </c>
    </row>
    <row r="11" spans="1:32" ht="15.75" x14ac:dyDescent="0.25">
      <c r="A11" s="8"/>
      <c r="B11" s="14"/>
      <c r="C11" s="11"/>
      <c r="D11" s="11"/>
      <c r="E11" s="19" t="s">
        <v>63</v>
      </c>
      <c r="F11" s="32">
        <f>F7+F9</f>
        <v>1000</v>
      </c>
      <c r="G11" s="11"/>
      <c r="H11" s="18"/>
      <c r="I11" s="13"/>
      <c r="J11" s="13"/>
      <c r="K11" s="13"/>
      <c r="L11" s="13"/>
      <c r="M11" s="13"/>
      <c r="AF11" s="17" t="s">
        <v>53</v>
      </c>
    </row>
    <row r="12" spans="1:32" ht="15.75" x14ac:dyDescent="0.25">
      <c r="A12" s="8"/>
      <c r="B12" s="14"/>
      <c r="C12" s="11"/>
      <c r="D12" s="11"/>
      <c r="E12" s="11"/>
      <c r="F12" s="11"/>
      <c r="G12" s="11"/>
      <c r="H12" s="18"/>
      <c r="I12" s="13"/>
      <c r="J12" s="13"/>
      <c r="K12" s="13"/>
      <c r="L12" s="13"/>
      <c r="M12" s="13"/>
      <c r="AF12" s="17" t="s">
        <v>54</v>
      </c>
    </row>
    <row r="13" spans="1:32" ht="26.25" x14ac:dyDescent="0.4">
      <c r="A13" s="22" t="s">
        <v>76</v>
      </c>
      <c r="B13" s="31" t="str">
        <f>IF(F11&lt;F7,"SALDO NEGATIVO",IF(F11=F7,"ESTÁVEL","SALDO POSITIVO"))</f>
        <v>ESTÁVEL</v>
      </c>
      <c r="C13" s="31"/>
      <c r="D13" s="31"/>
      <c r="E13" s="31"/>
      <c r="F13" s="31"/>
      <c r="G13" s="31"/>
      <c r="H13" s="18"/>
      <c r="I13" s="13"/>
      <c r="J13" s="13"/>
      <c r="K13" s="13"/>
      <c r="L13" s="13"/>
      <c r="M13" s="13"/>
      <c r="AF13" s="17" t="s">
        <v>55</v>
      </c>
    </row>
    <row r="14" spans="1:32" ht="15.75" x14ac:dyDescent="0.25">
      <c r="A14" s="8"/>
      <c r="B14" s="14"/>
      <c r="C14" s="11"/>
      <c r="D14" s="11"/>
      <c r="E14" s="11"/>
      <c r="F14" s="11"/>
      <c r="G14" s="11"/>
      <c r="H14" s="18"/>
      <c r="I14" s="13"/>
      <c r="J14" s="13"/>
      <c r="K14" s="13"/>
      <c r="L14" s="13"/>
      <c r="M14" s="13"/>
      <c r="AF14" s="17"/>
    </row>
    <row r="15" spans="1:32" ht="29.25" customHeight="1" x14ac:dyDescent="0.25">
      <c r="A15" s="23"/>
      <c r="B15" s="23"/>
      <c r="C15" s="23"/>
      <c r="D15" s="23"/>
      <c r="E15" s="23"/>
      <c r="F15" s="23"/>
      <c r="G15" s="23"/>
      <c r="H15" s="23"/>
      <c r="I15" s="13"/>
      <c r="J15" s="13"/>
      <c r="K15" s="13"/>
      <c r="L15" s="13"/>
      <c r="M15" s="13"/>
      <c r="AF15" s="17" t="s">
        <v>56</v>
      </c>
    </row>
    <row r="16" spans="1:32" ht="15.75" hidden="1" x14ac:dyDescent="0.25">
      <c r="A16" s="8"/>
      <c r="B16" s="14"/>
      <c r="C16" s="11"/>
      <c r="D16" s="11"/>
      <c r="E16" s="11"/>
      <c r="F16" s="11"/>
      <c r="G16" s="11"/>
      <c r="H16" s="18"/>
      <c r="I16" s="13"/>
      <c r="J16" s="13"/>
      <c r="K16" s="13"/>
      <c r="L16" s="13"/>
      <c r="M16" s="13"/>
      <c r="AF16" s="17" t="s">
        <v>57</v>
      </c>
    </row>
    <row r="17" spans="1:32" ht="15.75" hidden="1" x14ac:dyDescent="0.25">
      <c r="A17" s="8"/>
      <c r="B17" s="14"/>
      <c r="C17" s="11"/>
      <c r="D17" s="11"/>
      <c r="E17" s="11"/>
      <c r="F17" s="11"/>
      <c r="G17" s="11"/>
      <c r="H17" s="18"/>
      <c r="I17" s="13"/>
      <c r="J17" s="13"/>
      <c r="K17" s="13"/>
      <c r="L17" s="13"/>
      <c r="M17" s="13"/>
      <c r="AF17" s="17" t="s">
        <v>58</v>
      </c>
    </row>
    <row r="18" spans="1:32" ht="15.75" hidden="1" x14ac:dyDescent="0.25">
      <c r="A18" s="8"/>
      <c r="B18" s="14"/>
      <c r="C18" s="11"/>
      <c r="D18" s="11"/>
      <c r="E18" s="11"/>
      <c r="F18" s="11"/>
      <c r="G18" s="11"/>
      <c r="H18" s="18"/>
      <c r="I18" s="13"/>
      <c r="J18" s="13"/>
      <c r="K18" s="13"/>
      <c r="L18" s="13"/>
      <c r="M18" s="13"/>
    </row>
    <row r="19" spans="1:32" ht="15.75" hidden="1" x14ac:dyDescent="0.25">
      <c r="A19" s="8"/>
      <c r="B19" s="14"/>
      <c r="C19" s="11"/>
      <c r="D19" s="11"/>
      <c r="E19" s="11"/>
      <c r="F19" s="11"/>
      <c r="G19" s="11"/>
      <c r="H19" s="18"/>
      <c r="I19" s="13"/>
      <c r="J19" s="13"/>
      <c r="K19" s="13"/>
      <c r="L19" s="13"/>
      <c r="M19" s="13"/>
    </row>
    <row r="20" spans="1:32" ht="15.75" hidden="1" x14ac:dyDescent="0.25">
      <c r="A20" s="8"/>
      <c r="B20" s="14"/>
      <c r="C20" s="11"/>
      <c r="D20" s="11"/>
      <c r="E20" s="11"/>
      <c r="F20" s="11"/>
      <c r="G20" s="11"/>
      <c r="H20" s="18"/>
      <c r="I20" s="13"/>
      <c r="J20" s="13"/>
      <c r="K20" s="13"/>
      <c r="L20" s="13"/>
      <c r="M20" s="13"/>
    </row>
    <row r="21" spans="1:32" ht="15.75" hidden="1" x14ac:dyDescent="0.25">
      <c r="A21" s="8"/>
      <c r="B21" s="14"/>
      <c r="C21" s="11"/>
      <c r="D21" s="11"/>
      <c r="E21" s="11"/>
      <c r="F21" s="11"/>
      <c r="G21" s="11"/>
      <c r="H21" s="18"/>
      <c r="I21" s="13"/>
      <c r="J21" s="13"/>
      <c r="K21" s="13"/>
      <c r="L21" s="13"/>
      <c r="M21" s="13"/>
    </row>
    <row r="22" spans="1:32" ht="15.75" hidden="1" x14ac:dyDescent="0.25">
      <c r="A22" s="8"/>
      <c r="B22" s="14"/>
      <c r="C22" s="11"/>
      <c r="D22" s="11"/>
      <c r="E22" s="11"/>
      <c r="F22" s="11"/>
      <c r="G22" s="11"/>
      <c r="H22" s="18"/>
      <c r="I22" s="13"/>
      <c r="J22" s="13"/>
      <c r="K22" s="13"/>
      <c r="L22" s="13"/>
      <c r="M22" s="13"/>
    </row>
    <row r="23" spans="1:32" ht="15.75" hidden="1" x14ac:dyDescent="0.25">
      <c r="A23" s="8"/>
      <c r="B23" s="14"/>
      <c r="C23" s="11"/>
      <c r="D23" s="11"/>
      <c r="E23" s="11"/>
      <c r="F23" s="11"/>
      <c r="G23" s="11"/>
      <c r="H23" s="18"/>
      <c r="I23" s="13"/>
      <c r="J23" s="13"/>
      <c r="K23" s="13"/>
      <c r="L23" s="13"/>
      <c r="M23" s="13"/>
    </row>
    <row r="24" spans="1:32" ht="15.75" hidden="1" x14ac:dyDescent="0.25">
      <c r="A24" s="8"/>
      <c r="B24" s="14"/>
      <c r="C24" s="11"/>
      <c r="D24" s="11"/>
      <c r="E24" s="11"/>
      <c r="F24" s="11"/>
      <c r="G24" s="11"/>
      <c r="H24" s="18"/>
      <c r="I24" s="13"/>
      <c r="J24" s="13"/>
      <c r="K24" s="13"/>
      <c r="L24" s="13"/>
      <c r="M24" s="13"/>
    </row>
    <row r="25" spans="1:32" ht="15.75" hidden="1" x14ac:dyDescent="0.25">
      <c r="A25" s="8"/>
      <c r="B25" s="14"/>
      <c r="C25" s="11"/>
      <c r="D25" s="11"/>
      <c r="E25" s="11"/>
      <c r="F25" s="11"/>
      <c r="G25" s="11"/>
      <c r="H25" s="18"/>
      <c r="I25" s="13"/>
      <c r="J25" s="13"/>
      <c r="K25" s="13"/>
      <c r="L25" s="13"/>
      <c r="M25" s="13"/>
    </row>
    <row r="26" spans="1:32" ht="15.75" hidden="1" x14ac:dyDescent="0.25">
      <c r="A26" s="8"/>
      <c r="B26" s="14"/>
      <c r="C26" s="11"/>
      <c r="D26" s="11"/>
      <c r="E26" s="11"/>
      <c r="F26" s="11"/>
      <c r="G26" s="11"/>
      <c r="H26" s="18"/>
      <c r="I26" s="13"/>
      <c r="J26" s="13"/>
      <c r="K26" s="13"/>
      <c r="L26" s="13"/>
      <c r="M26" s="13"/>
    </row>
    <row r="27" spans="1:32" ht="15.75" hidden="1" x14ac:dyDescent="0.25">
      <c r="A27" s="8"/>
      <c r="B27" s="14"/>
      <c r="C27" s="11"/>
      <c r="D27" s="11"/>
      <c r="E27" s="11"/>
      <c r="F27" s="11"/>
      <c r="G27" s="11"/>
      <c r="H27" s="18"/>
      <c r="I27" s="13"/>
      <c r="J27" s="13"/>
      <c r="K27" s="13"/>
      <c r="L27" s="13"/>
      <c r="M27" s="13"/>
    </row>
    <row r="28" spans="1:32" ht="15.75" hidden="1" x14ac:dyDescent="0.25">
      <c r="A28" s="8"/>
      <c r="B28" s="14"/>
      <c r="C28" s="11"/>
      <c r="D28" s="11"/>
      <c r="E28" s="11"/>
      <c r="F28" s="11"/>
      <c r="G28" s="11"/>
      <c r="H28" s="18"/>
      <c r="I28" s="13"/>
      <c r="J28" s="13"/>
      <c r="K28" s="13"/>
      <c r="L28" s="13"/>
      <c r="M28" s="13"/>
    </row>
    <row r="29" spans="1:32" ht="15.75" hidden="1" x14ac:dyDescent="0.25">
      <c r="A29" s="8"/>
      <c r="B29" s="14"/>
      <c r="C29" s="11"/>
      <c r="D29" s="11"/>
      <c r="E29" s="11"/>
      <c r="F29" s="11"/>
      <c r="G29" s="11"/>
      <c r="H29" s="18"/>
      <c r="I29" s="13"/>
      <c r="J29" s="13"/>
      <c r="K29" s="13"/>
      <c r="L29" s="13"/>
      <c r="M29" s="13"/>
    </row>
    <row r="30" spans="1:32" ht="15.75" hidden="1" x14ac:dyDescent="0.25">
      <c r="A30" s="8"/>
      <c r="B30" s="14"/>
      <c r="C30" s="11"/>
      <c r="D30" s="11"/>
      <c r="E30" s="11"/>
      <c r="F30" s="11"/>
      <c r="G30" s="11"/>
      <c r="H30" s="18"/>
      <c r="I30" s="13"/>
      <c r="J30" s="13"/>
      <c r="K30" s="13"/>
      <c r="L30" s="13"/>
      <c r="M30" s="13"/>
    </row>
    <row r="31" spans="1:32" ht="15.75" hidden="1" x14ac:dyDescent="0.25">
      <c r="A31" s="8"/>
      <c r="B31" s="14"/>
      <c r="C31" s="11"/>
      <c r="D31" s="11"/>
      <c r="E31" s="11"/>
      <c r="F31" s="11"/>
      <c r="G31" s="11"/>
      <c r="H31" s="18"/>
      <c r="I31" s="13"/>
      <c r="J31" s="13"/>
      <c r="K31" s="13"/>
      <c r="L31" s="13"/>
      <c r="M31" s="13"/>
    </row>
    <row r="32" spans="1:32" ht="15.75" hidden="1" x14ac:dyDescent="0.25">
      <c r="A32" s="8"/>
      <c r="B32" s="14"/>
      <c r="C32" s="11"/>
      <c r="D32" s="11"/>
      <c r="E32" s="11"/>
      <c r="F32" s="11"/>
      <c r="G32" s="11"/>
      <c r="H32" s="18"/>
      <c r="I32" s="13"/>
      <c r="J32" s="13"/>
      <c r="K32" s="13"/>
      <c r="L32" s="13"/>
      <c r="M32" s="13"/>
    </row>
    <row r="33" spans="1:16" ht="15.75" hidden="1" x14ac:dyDescent="0.25">
      <c r="A33" s="8"/>
      <c r="B33" s="14"/>
      <c r="C33" s="11"/>
      <c r="D33" s="11"/>
      <c r="E33" s="11"/>
      <c r="F33" s="11"/>
      <c r="G33" s="11"/>
      <c r="H33" s="18"/>
      <c r="I33" s="13"/>
      <c r="J33" s="13"/>
      <c r="K33" s="13"/>
      <c r="L33" s="13"/>
      <c r="M33" s="13"/>
      <c r="P33" s="24"/>
    </row>
    <row r="34" spans="1:16" ht="15.75" hidden="1" x14ac:dyDescent="0.25">
      <c r="A34" s="8"/>
      <c r="B34" s="14"/>
      <c r="C34" s="11"/>
      <c r="D34" s="11"/>
      <c r="E34" s="11"/>
      <c r="F34" s="11"/>
      <c r="G34" s="11"/>
      <c r="H34" s="18"/>
      <c r="I34" s="13"/>
      <c r="J34" s="13"/>
      <c r="K34" s="13"/>
      <c r="L34" s="13"/>
      <c r="M34" s="13"/>
    </row>
    <row r="35" spans="1:16" ht="15.75" hidden="1" x14ac:dyDescent="0.25">
      <c r="A35" s="8"/>
      <c r="B35" s="14"/>
      <c r="C35" s="11"/>
      <c r="D35" s="11"/>
      <c r="E35" s="11"/>
      <c r="F35" s="11"/>
      <c r="G35" s="11"/>
      <c r="H35" s="18"/>
      <c r="I35" s="13"/>
      <c r="J35" s="13"/>
      <c r="K35" s="13"/>
      <c r="L35" s="13"/>
      <c r="M35" s="13"/>
    </row>
    <row r="36" spans="1:16" ht="15.75" hidden="1" x14ac:dyDescent="0.25">
      <c r="A36" s="25"/>
      <c r="B36" s="26"/>
      <c r="C36" s="27"/>
      <c r="D36" s="27"/>
      <c r="E36" s="27"/>
      <c r="F36" s="27"/>
      <c r="G36" s="27"/>
      <c r="H36" s="28"/>
      <c r="I36" s="29"/>
      <c r="J36" s="29"/>
      <c r="K36" s="29"/>
      <c r="L36" s="29"/>
      <c r="M36" s="29"/>
    </row>
  </sheetData>
  <sheetProtection password="CF7A" sheet="1" objects="1" scenarios="1"/>
  <mergeCells count="3">
    <mergeCell ref="A1:H1"/>
    <mergeCell ref="A15:H15"/>
    <mergeCell ref="B13:G13"/>
  </mergeCells>
  <conditionalFormatting sqref="B13:G13">
    <cfRule type="cellIs" dxfId="2" priority="1" operator="equal">
      <formula>"ESTÁVEL"</formula>
    </cfRule>
    <cfRule type="cellIs" dxfId="1" priority="2" operator="equal">
      <formula>"SALDO NEGATIVO"</formula>
    </cfRule>
    <cfRule type="cellIs" dxfId="0" priority="3" operator="equal">
      <formula>"SALDO POSITIVO"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41"/>
  <sheetViews>
    <sheetView workbookViewId="0">
      <selection activeCell="A10" sqref="A10:XFD10"/>
    </sheetView>
  </sheetViews>
  <sheetFormatPr defaultColWidth="0" defaultRowHeight="15" zeroHeight="1" x14ac:dyDescent="0.25"/>
  <cols>
    <col min="1" max="1" width="50.7109375" style="33" customWidth="1"/>
    <col min="2" max="2" width="19.7109375" style="33" customWidth="1"/>
    <col min="3" max="16384" width="9.140625" style="33" hidden="1"/>
  </cols>
  <sheetData>
    <row r="1" spans="1:2" x14ac:dyDescent="0.25"/>
    <row r="2" spans="1:2" ht="18.75" x14ac:dyDescent="0.3">
      <c r="A2" s="34" t="s">
        <v>64</v>
      </c>
      <c r="B2" s="34" t="s">
        <v>65</v>
      </c>
    </row>
    <row r="3" spans="1:2" x14ac:dyDescent="0.25">
      <c r="A3" s="35"/>
      <c r="B3" s="39">
        <f>SUM(B6:B15)</f>
        <v>0</v>
      </c>
    </row>
    <row r="4" spans="1:2" x14ac:dyDescent="0.25"/>
    <row r="5" spans="1:2" x14ac:dyDescent="0.25">
      <c r="A5" s="36" t="s">
        <v>70</v>
      </c>
      <c r="B5" s="36" t="s">
        <v>71</v>
      </c>
    </row>
    <row r="6" spans="1:2" ht="15.75" x14ac:dyDescent="0.25">
      <c r="A6" s="37"/>
      <c r="B6" s="38"/>
    </row>
    <row r="7" spans="1:2" ht="15.75" x14ac:dyDescent="0.25">
      <c r="A7" s="37"/>
      <c r="B7" s="38"/>
    </row>
    <row r="8" spans="1:2" ht="15.75" x14ac:dyDescent="0.25">
      <c r="A8" s="37"/>
      <c r="B8" s="38"/>
    </row>
    <row r="9" spans="1:2" ht="15.75" x14ac:dyDescent="0.25">
      <c r="A9" s="37"/>
      <c r="B9" s="38"/>
    </row>
    <row r="10" spans="1:2" ht="15.75" hidden="1" x14ac:dyDescent="0.25">
      <c r="A10" s="37"/>
      <c r="B10" s="38"/>
    </row>
    <row r="11" spans="1:2" ht="15.75" hidden="1" x14ac:dyDescent="0.25">
      <c r="A11" s="37"/>
      <c r="B11" s="38"/>
    </row>
    <row r="12" spans="1:2" ht="15.75" hidden="1" x14ac:dyDescent="0.25">
      <c r="A12" s="37"/>
      <c r="B12" s="38"/>
    </row>
    <row r="13" spans="1:2" ht="15.75" hidden="1" x14ac:dyDescent="0.25">
      <c r="A13" s="37"/>
      <c r="B13" s="38"/>
    </row>
    <row r="14" spans="1:2" ht="15.75" hidden="1" x14ac:dyDescent="0.25">
      <c r="A14" s="37"/>
      <c r="B14" s="38"/>
    </row>
    <row r="15" spans="1:2" ht="15.75" hidden="1" x14ac:dyDescent="0.25">
      <c r="A15" s="37"/>
      <c r="B15" s="38"/>
    </row>
    <row r="16" spans="1:2" ht="15.75" hidden="1" x14ac:dyDescent="0.25">
      <c r="A16" s="37"/>
      <c r="B16" s="38"/>
    </row>
    <row r="17" spans="1:2" ht="15.75" hidden="1" x14ac:dyDescent="0.25">
      <c r="A17" s="37"/>
      <c r="B17" s="38"/>
    </row>
    <row r="18" spans="1:2" ht="15.75" hidden="1" x14ac:dyDescent="0.25">
      <c r="A18" s="37"/>
      <c r="B18" s="38"/>
    </row>
    <row r="19" spans="1:2" ht="15.75" hidden="1" x14ac:dyDescent="0.25">
      <c r="A19" s="37"/>
      <c r="B19" s="38"/>
    </row>
    <row r="20" spans="1:2" ht="15.75" hidden="1" x14ac:dyDescent="0.25">
      <c r="A20" s="37"/>
      <c r="B20" s="38"/>
    </row>
    <row r="21" spans="1:2" ht="15.75" hidden="1" x14ac:dyDescent="0.25">
      <c r="A21" s="37"/>
      <c r="B21" s="38"/>
    </row>
    <row r="22" spans="1:2" ht="15.75" hidden="1" x14ac:dyDescent="0.25">
      <c r="A22" s="37"/>
      <c r="B22" s="38"/>
    </row>
    <row r="23" spans="1:2" ht="15.75" hidden="1" x14ac:dyDescent="0.25">
      <c r="A23" s="37"/>
      <c r="B23" s="38"/>
    </row>
    <row r="24" spans="1:2" ht="15.75" hidden="1" x14ac:dyDescent="0.25">
      <c r="A24" s="37"/>
      <c r="B24" s="38"/>
    </row>
    <row r="25" spans="1:2" ht="15.75" hidden="1" x14ac:dyDescent="0.25">
      <c r="A25" s="37"/>
      <c r="B25" s="38"/>
    </row>
    <row r="26" spans="1:2" ht="15.75" hidden="1" x14ac:dyDescent="0.25">
      <c r="A26" s="37" t="s">
        <v>74</v>
      </c>
      <c r="B26" s="38">
        <v>800</v>
      </c>
    </row>
    <row r="27" spans="1:2" ht="15.75" hidden="1" x14ac:dyDescent="0.25">
      <c r="A27" s="37" t="s">
        <v>73</v>
      </c>
      <c r="B27" s="38">
        <v>1500</v>
      </c>
    </row>
    <row r="28" spans="1:2" ht="15.75" hidden="1" x14ac:dyDescent="0.25">
      <c r="A28" s="37"/>
      <c r="B28" s="38"/>
    </row>
    <row r="29" spans="1:2" ht="15.75" hidden="1" x14ac:dyDescent="0.25">
      <c r="A29" s="37"/>
      <c r="B29" s="38"/>
    </row>
    <row r="30" spans="1:2" ht="15.75" hidden="1" x14ac:dyDescent="0.25">
      <c r="A30" s="37"/>
      <c r="B30" s="38"/>
    </row>
    <row r="31" spans="1:2" ht="15.75" hidden="1" x14ac:dyDescent="0.25">
      <c r="A31" s="37"/>
      <c r="B31" s="38"/>
    </row>
    <row r="32" spans="1:2" ht="15.75" hidden="1" x14ac:dyDescent="0.25">
      <c r="A32" s="37" t="s">
        <v>66</v>
      </c>
      <c r="B32" s="38" t="s">
        <v>66</v>
      </c>
    </row>
    <row r="33" spans="1:2" ht="15.75" hidden="1" x14ac:dyDescent="0.25">
      <c r="A33" s="37" t="s">
        <v>66</v>
      </c>
      <c r="B33" s="38" t="s">
        <v>66</v>
      </c>
    </row>
    <row r="34" spans="1:2" ht="15.75" hidden="1" x14ac:dyDescent="0.25">
      <c r="A34" s="37" t="s">
        <v>66</v>
      </c>
      <c r="B34" s="38" t="s">
        <v>66</v>
      </c>
    </row>
    <row r="35" spans="1:2" ht="15.75" hidden="1" x14ac:dyDescent="0.25">
      <c r="A35" s="37" t="s">
        <v>66</v>
      </c>
      <c r="B35" s="38" t="s">
        <v>66</v>
      </c>
    </row>
    <row r="36" spans="1:2" ht="15.75" hidden="1" x14ac:dyDescent="0.25">
      <c r="A36" s="37" t="s">
        <v>66</v>
      </c>
      <c r="B36" s="38" t="s">
        <v>66</v>
      </c>
    </row>
    <row r="37" spans="1:2" ht="15.75" hidden="1" x14ac:dyDescent="0.25">
      <c r="A37" s="37"/>
      <c r="B37" s="38"/>
    </row>
    <row r="38" spans="1:2" ht="15.75" hidden="1" x14ac:dyDescent="0.25">
      <c r="A38" s="37"/>
      <c r="B38" s="38"/>
    </row>
    <row r="39" spans="1:2" hidden="1" x14ac:dyDescent="0.25"/>
    <row r="40" spans="1:2" hidden="1" x14ac:dyDescent="0.25"/>
    <row r="41" spans="1:2" hidden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18"/>
  <sheetViews>
    <sheetView workbookViewId="0">
      <selection activeCell="A10" sqref="A10:XFD10"/>
    </sheetView>
  </sheetViews>
  <sheetFormatPr defaultColWidth="0" defaultRowHeight="15" zeroHeight="1" x14ac:dyDescent="0.25"/>
  <cols>
    <col min="1" max="1" width="48.42578125" style="5" customWidth="1"/>
    <col min="2" max="2" width="19.7109375" style="5" customWidth="1"/>
    <col min="3" max="16384" width="9.140625" style="5" hidden="1"/>
  </cols>
  <sheetData>
    <row r="1" spans="1:2" x14ac:dyDescent="0.25"/>
    <row r="2" spans="1:2" ht="18.75" x14ac:dyDescent="0.3">
      <c r="A2" s="40" t="s">
        <v>67</v>
      </c>
      <c r="B2" s="40" t="s">
        <v>65</v>
      </c>
    </row>
    <row r="3" spans="1:2" x14ac:dyDescent="0.25">
      <c r="A3" s="41"/>
      <c r="B3" s="39">
        <f>SUM(B6:B13)</f>
        <v>0</v>
      </c>
    </row>
    <row r="4" spans="1:2" x14ac:dyDescent="0.25"/>
    <row r="5" spans="1:2" ht="18.75" x14ac:dyDescent="0.3">
      <c r="A5" s="40" t="s">
        <v>68</v>
      </c>
      <c r="B5" s="40" t="s">
        <v>69</v>
      </c>
    </row>
    <row r="6" spans="1:2" x14ac:dyDescent="0.25">
      <c r="A6" s="43"/>
      <c r="B6" s="44"/>
    </row>
    <row r="7" spans="1:2" x14ac:dyDescent="0.25">
      <c r="A7" s="43"/>
      <c r="B7" s="44"/>
    </row>
    <row r="8" spans="1:2" x14ac:dyDescent="0.25">
      <c r="A8" s="43"/>
      <c r="B8" s="44"/>
    </row>
    <row r="9" spans="1:2" x14ac:dyDescent="0.25">
      <c r="A9" s="43"/>
      <c r="B9" s="44"/>
    </row>
    <row r="10" spans="1:2" hidden="1" x14ac:dyDescent="0.25">
      <c r="A10" s="43"/>
      <c r="B10" s="44"/>
    </row>
    <row r="11" spans="1:2" hidden="1" x14ac:dyDescent="0.25">
      <c r="A11" s="43"/>
      <c r="B11" s="44"/>
    </row>
    <row r="12" spans="1:2" hidden="1" x14ac:dyDescent="0.25">
      <c r="A12" s="43"/>
      <c r="B12" s="44"/>
    </row>
    <row r="13" spans="1:2" hidden="1" x14ac:dyDescent="0.25">
      <c r="A13" s="43"/>
      <c r="B13" s="44"/>
    </row>
    <row r="14" spans="1:2" hidden="1" x14ac:dyDescent="0.25">
      <c r="A14" s="43"/>
      <c r="B14" s="44"/>
    </row>
    <row r="15" spans="1:2" hidden="1" x14ac:dyDescent="0.25">
      <c r="A15" s="43" t="s">
        <v>75</v>
      </c>
      <c r="B15" s="44">
        <v>2000</v>
      </c>
    </row>
    <row r="16" spans="1:2" hidden="1" x14ac:dyDescent="0.25">
      <c r="A16" s="43"/>
      <c r="B16" s="44"/>
    </row>
    <row r="17" spans="1:2" hidden="1" x14ac:dyDescent="0.25">
      <c r="A17" s="43"/>
      <c r="B17" s="44"/>
    </row>
    <row r="18" spans="1:2" hidden="1" x14ac:dyDescent="0.25">
      <c r="A18" s="41"/>
      <c r="B18" s="42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C3:I4"/>
  <sheetViews>
    <sheetView showGridLines="0" workbookViewId="0">
      <selection activeCell="M13" sqref="M13"/>
    </sheetView>
  </sheetViews>
  <sheetFormatPr defaultRowHeight="15" x14ac:dyDescent="0.25"/>
  <sheetData>
    <row r="3" spans="3:9" ht="21" x14ac:dyDescent="0.35">
      <c r="C3" s="2" t="s">
        <v>36</v>
      </c>
      <c r="D3" s="2"/>
      <c r="E3" s="2"/>
      <c r="F3" s="2"/>
      <c r="G3" s="2"/>
      <c r="H3" s="2"/>
      <c r="I3" s="2"/>
    </row>
    <row r="4" spans="3:9" ht="21" x14ac:dyDescent="0.35">
      <c r="C4" s="1" t="s">
        <v>37</v>
      </c>
      <c r="D4" s="1"/>
      <c r="E4" s="1"/>
      <c r="F4" s="1"/>
      <c r="G4" s="1"/>
      <c r="H4" s="1"/>
      <c r="I4" s="1"/>
    </row>
  </sheetData>
  <mergeCells count="1">
    <mergeCell ref="C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precificação</vt:lpstr>
      <vt:lpstr>fluxo de caixa</vt:lpstr>
      <vt:lpstr>entrada</vt:lpstr>
      <vt:lpstr>saida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Faturamento</dc:creator>
  <cp:lastModifiedBy>Faturamento</cp:lastModifiedBy>
  <cp:lastPrinted>2023-10-03T21:09:16Z</cp:lastPrinted>
  <dcterms:created xsi:type="dcterms:W3CDTF">2023-10-02T15:41:12Z</dcterms:created>
  <dcterms:modified xsi:type="dcterms:W3CDTF">2023-10-04T16:30:32Z</dcterms:modified>
</cp:coreProperties>
</file>