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0" yWindow="90" windowWidth="20115" windowHeight="7755"/>
  </bookViews>
  <sheets>
    <sheet name="precificação" sheetId="1" r:id="rId1"/>
    <sheet name="fluxo de caixa" sheetId="2" r:id="rId2"/>
    <sheet name="entrada" sheetId="4" r:id="rId3"/>
    <sheet name="saida" sheetId="5" r:id="rId4"/>
    <sheet name="Plan3" sheetId="3" r:id="rId5"/>
  </sheets>
  <calcPr calcId="144525"/>
</workbook>
</file>

<file path=xl/calcChain.xml><?xml version="1.0" encoding="utf-8"?>
<calcChain xmlns="http://schemas.openxmlformats.org/spreadsheetml/2006/main">
  <c r="B3" i="5" l="1"/>
  <c r="B3" i="4"/>
  <c r="E13" i="1" l="1"/>
  <c r="F13" i="1" s="1"/>
  <c r="F9" i="2" l="1"/>
  <c r="F11" i="2" s="1"/>
  <c r="B13" i="2" s="1"/>
  <c r="E11" i="1" l="1"/>
  <c r="F11" i="1" s="1"/>
  <c r="C24" i="1" l="1"/>
  <c r="C23" i="1"/>
  <c r="C22" i="1"/>
  <c r="C21" i="1"/>
  <c r="I8" i="1"/>
  <c r="F7" i="1"/>
  <c r="E14" i="1"/>
  <c r="F14" i="1" s="1"/>
  <c r="E12" i="1"/>
  <c r="F12" i="1" s="1"/>
  <c r="E10" i="1"/>
  <c r="F10" i="1" s="1"/>
  <c r="E9" i="1"/>
  <c r="F9" i="1" s="1"/>
  <c r="E8" i="1"/>
  <c r="F8" i="1" s="1"/>
  <c r="E7" i="1"/>
  <c r="E6" i="1"/>
  <c r="F6" i="1" s="1"/>
  <c r="E5" i="1"/>
  <c r="F5" i="1" s="1"/>
  <c r="E4" i="1"/>
  <c r="F4" i="1" s="1"/>
  <c r="F15" i="1" l="1"/>
  <c r="F23" i="1" s="1"/>
  <c r="C27" i="1"/>
  <c r="F24" i="1" l="1"/>
  <c r="F16" i="1"/>
  <c r="F17" i="1" s="1"/>
  <c r="F26" i="1" s="1"/>
  <c r="F27" i="1" s="1"/>
</calcChain>
</file>

<file path=xl/sharedStrings.xml><?xml version="1.0" encoding="utf-8"?>
<sst xmlns="http://schemas.openxmlformats.org/spreadsheetml/2006/main" count="97" uniqueCount="80">
  <si>
    <t>PRECIFICAÇÃO</t>
  </si>
  <si>
    <t>INGREDIENTES</t>
  </si>
  <si>
    <t>CONSUMO kg/ml</t>
  </si>
  <si>
    <t>PESO TOTAL kg/ml</t>
  </si>
  <si>
    <t>PREÇO TOTAL</t>
  </si>
  <si>
    <t>PREÇO kg/ml</t>
  </si>
  <si>
    <t>PREÇO CONSUMO</t>
  </si>
  <si>
    <t xml:space="preserve">ABACAXI </t>
  </si>
  <si>
    <t>sal</t>
  </si>
  <si>
    <t>pimento do reino</t>
  </si>
  <si>
    <t>limão</t>
  </si>
  <si>
    <t>leite condensado</t>
  </si>
  <si>
    <t>palito</t>
  </si>
  <si>
    <t>gasolina</t>
  </si>
  <si>
    <t>papel toalha</t>
  </si>
  <si>
    <t>CUSTO MÉDIO UNITÁRIO</t>
  </si>
  <si>
    <t>MARGEM DE LUCRO</t>
  </si>
  <si>
    <t>VALOR MÉDIO UNITÁRIO</t>
  </si>
  <si>
    <t>INVESTIMENTO</t>
  </si>
  <si>
    <t>BENS</t>
  </si>
  <si>
    <t>VALOR</t>
  </si>
  <si>
    <t>carro ambulante</t>
  </si>
  <si>
    <t>faca</t>
  </si>
  <si>
    <t>avental</t>
  </si>
  <si>
    <t>TOTAL DE INVESTIMENTO</t>
  </si>
  <si>
    <t>recipiente para tempero 2</t>
  </si>
  <si>
    <t>CUSTO FIXO</t>
  </si>
  <si>
    <t>CUSTO VARIÁVEL</t>
  </si>
  <si>
    <t>CUSTO TOTAL</t>
  </si>
  <si>
    <t>MÊS</t>
  </si>
  <si>
    <t>PONTO DE EQUILÍBRIO</t>
  </si>
  <si>
    <t>RECEITA AO MÊS</t>
  </si>
  <si>
    <t>LUCRO</t>
  </si>
  <si>
    <t>TOTAL</t>
  </si>
  <si>
    <t>Quer saber mais sobre à abacaxi &amp; Cia,</t>
  </si>
  <si>
    <t>aponte a cámara do seu celular para o qrcode e acesse nosso site!</t>
  </si>
  <si>
    <t>embalagem</t>
  </si>
  <si>
    <t>carro ambulante 10 anos</t>
  </si>
  <si>
    <t>faca 3 anos</t>
  </si>
  <si>
    <t>avental 6 meses</t>
  </si>
  <si>
    <t>DEPRESIAÇÃO</t>
  </si>
  <si>
    <r>
      <t xml:space="preserve">taxa do  </t>
    </r>
    <r>
      <rPr>
        <b/>
        <sz val="11"/>
        <color theme="1"/>
        <rFont val="Calibri"/>
        <family val="2"/>
        <scheme val="minor"/>
      </rPr>
      <t>MEI</t>
    </r>
  </si>
  <si>
    <t>PROJEÇÃO DE VENDA AO 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</si>
  <si>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</si>
  <si>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</si>
  <si>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</si>
  <si>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</si>
  <si>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</si>
  <si>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</si>
  <si>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</si>
  <si>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</si>
  <si>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</si>
  <si>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</si>
  <si>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</si>
  <si>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</si>
  <si>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FLUXO DE CAIXA</t>
  </si>
  <si>
    <t>Valor:</t>
  </si>
  <si>
    <t>Descrição:</t>
  </si>
  <si>
    <t>Saldo do Dia:</t>
  </si>
  <si>
    <t>Subtotal:</t>
  </si>
  <si>
    <t>Total de entradas</t>
  </si>
  <si>
    <t>Valor total</t>
  </si>
  <si>
    <t xml:space="preserve"> </t>
  </si>
  <si>
    <t>Total de saídas</t>
  </si>
  <si>
    <t>Descrição da saída</t>
  </si>
  <si>
    <t>Valor da saída</t>
  </si>
  <si>
    <t>Descrição da Entrada</t>
  </si>
  <si>
    <t>Valor da Entrada</t>
  </si>
  <si>
    <t>Saldo Inicial:</t>
  </si>
  <si>
    <t>cartao de crédito</t>
  </si>
  <si>
    <t>SITUAÇÃO:</t>
  </si>
  <si>
    <t xml:space="preserve">ABACAXI &amp; CIA </t>
  </si>
  <si>
    <t>recipiente para tempero 2 anos</t>
  </si>
  <si>
    <t>touca</t>
  </si>
  <si>
    <t>luva</t>
  </si>
  <si>
    <t>pro-labore</t>
  </si>
  <si>
    <t>recipiente para tempero</t>
  </si>
  <si>
    <t>taxa do mei</t>
  </si>
  <si>
    <t>taxa do mês</t>
  </si>
  <si>
    <t>recipiente para empero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</si>
</sst>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6" tint="0.39997558519241921"/>
      <name val="Wide Latin"/>
      <family val="1"/>
    </font>
    <font>
      <b/>
      <sz val="14"/>
      <color theme="6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Wide Latin"/>
      <family val="1"/>
    </font>
    <font>
      <sz val="16"/>
      <color theme="6" tint="0.39997558519241921"/>
      <name val="Wide Latin"/>
      <family val="1"/>
    </font>
    <font>
      <b/>
      <sz val="16"/>
      <color theme="1"/>
      <name val="Calibri"/>
      <family val="2"/>
      <scheme val="minor"/>
    </font>
    <font>
      <sz val="24"/>
      <color theme="6" tint="0.39997558519241921"/>
      <name val="Wide Lati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0"/>
      <name val="Arial"/>
      <family val="2"/>
    </font>
    <font>
      <u val="singleAccounting"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3300"/>
      <name val="Calibri"/>
      <family val="2"/>
      <scheme val="minor"/>
    </font>
    <font>
      <sz val="11"/>
      <color rgb="FF0033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66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9" fillId="0" borderId="0" xfId="0" applyFont="1" applyAlignment="1"/>
    <xf numFmtId="0" fontId="8" fillId="0" borderId="0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4" fontId="13" fillId="0" borderId="0" xfId="0" applyNumberFormat="1" applyFont="1" applyBorder="1" applyProtection="1">
      <protection locked="0"/>
    </xf>
    <xf numFmtId="0" fontId="12" fillId="0" borderId="0" xfId="0" applyNumberFormat="1" applyFont="1" applyBorder="1" applyAlignment="1" applyProtection="1">
      <alignment horizontal="center"/>
      <protection locked="0"/>
    </xf>
    <xf numFmtId="44" fontId="13" fillId="0" borderId="1" xfId="0" applyNumberFormat="1" applyFont="1" applyBorder="1" applyAlignment="1" applyProtection="1">
      <alignment horizontal="center"/>
      <protection locked="0"/>
    </xf>
    <xf numFmtId="44" fontId="13" fillId="0" borderId="0" xfId="0" applyNumberFormat="1" applyFont="1" applyBorder="1" applyAlignment="1" applyProtection="1">
      <alignment horizontal="center"/>
      <protection locked="0"/>
    </xf>
    <xf numFmtId="9" fontId="13" fillId="0" borderId="0" xfId="1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64" fontId="13" fillId="0" borderId="1" xfId="0" applyNumberFormat="1" applyFont="1" applyBorder="1" applyAlignment="1" applyProtection="1">
      <alignment horizontal="center"/>
      <protection locked="0"/>
    </xf>
    <xf numFmtId="9" fontId="0" fillId="0" borderId="0" xfId="1" applyFont="1" applyProtection="1">
      <protection locked="0"/>
    </xf>
    <xf numFmtId="0" fontId="11" fillId="0" borderId="0" xfId="0" applyFont="1" applyProtection="1">
      <protection locked="0"/>
    </xf>
    <xf numFmtId="9" fontId="13" fillId="0" borderId="0" xfId="1" applyFont="1" applyBorder="1" applyAlignment="1" applyProtection="1">
      <alignment horizontal="center"/>
      <protection locked="0"/>
    </xf>
    <xf numFmtId="44" fontId="11" fillId="0" borderId="0" xfId="0" applyNumberFormat="1" applyFont="1" applyBorder="1" applyAlignment="1" applyProtection="1">
      <alignment horizontal="right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44" fontId="15" fillId="0" borderId="0" xfId="0" applyNumberFormat="1" applyFont="1" applyBorder="1" applyAlignment="1" applyProtection="1">
      <alignment horizontal="center"/>
      <protection locked="0"/>
    </xf>
    <xf numFmtId="14" fontId="12" fillId="0" borderId="0" xfId="0" applyNumberFormat="1" applyFont="1" applyBorder="1" applyProtection="1">
      <protection locked="0"/>
    </xf>
    <xf numFmtId="0" fontId="7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0" fontId="11" fillId="0" borderId="0" xfId="0" applyNumberFormat="1" applyFont="1" applyFill="1" applyBorder="1" applyAlignment="1" applyProtection="1">
      <alignment horizontal="center"/>
      <protection locked="0"/>
    </xf>
    <xf numFmtId="44" fontId="11" fillId="0" borderId="0" xfId="0" applyNumberFormat="1" applyFont="1" applyFill="1" applyBorder="1" applyProtection="1">
      <protection locked="0"/>
    </xf>
    <xf numFmtId="9" fontId="11" fillId="0" borderId="0" xfId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Protection="1">
      <protection locked="0"/>
    </xf>
    <xf numFmtId="44" fontId="13" fillId="0" borderId="0" xfId="0" applyNumberFormat="1" applyFont="1" applyBorder="1" applyAlignment="1" applyProtection="1">
      <alignment horizontal="center"/>
      <protection locked="0" hidden="1"/>
    </xf>
    <xf numFmtId="164" fontId="11" fillId="0" borderId="1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12" fillId="0" borderId="0" xfId="0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/>
      <protection locked="0" hidden="1"/>
    </xf>
    <xf numFmtId="44" fontId="13" fillId="0" borderId="1" xfId="0" applyNumberFormat="1" applyFont="1" applyBorder="1" applyAlignment="1" applyProtection="1">
      <alignment horizontal="center"/>
      <protection locked="0" hidden="1"/>
    </xf>
    <xf numFmtId="164" fontId="13" fillId="0" borderId="1" xfId="0" applyNumberFormat="1" applyFont="1" applyBorder="1" applyAlignment="1" applyProtection="1">
      <alignment horizontal="center"/>
      <protection locked="0" hidden="1"/>
    </xf>
    <xf numFmtId="164" fontId="0" fillId="0" borderId="0" xfId="0" applyNumberFormat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4" fontId="0" fillId="0" borderId="1" xfId="0" applyNumberFormat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44" fontId="0" fillId="0" borderId="5" xfId="0" applyNumberFormat="1" applyBorder="1" applyProtection="1"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0" fontId="2" fillId="0" borderId="1" xfId="0" applyNumberFormat="1" applyFont="1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3" borderId="0" xfId="0" applyFill="1" applyBorder="1" applyProtection="1">
      <protection locked="0"/>
    </xf>
    <xf numFmtId="44" fontId="2" fillId="3" borderId="0" xfId="0" applyNumberFormat="1" applyFont="1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right"/>
      <protection locked="0"/>
    </xf>
    <xf numFmtId="44" fontId="0" fillId="0" borderId="1" xfId="0" applyNumberFormat="1" applyBorder="1" applyProtection="1">
      <protection hidden="1"/>
    </xf>
    <xf numFmtId="44" fontId="0" fillId="0" borderId="5" xfId="0" applyNumberFormat="1" applyBorder="1" applyProtection="1">
      <protection hidden="1"/>
    </xf>
    <xf numFmtId="44" fontId="2" fillId="0" borderId="1" xfId="0" applyNumberFormat="1" applyFont="1" applyBorder="1" applyProtection="1">
      <protection hidden="1"/>
    </xf>
    <xf numFmtId="44" fontId="2" fillId="0" borderId="1" xfId="0" applyNumberFormat="1" applyFont="1" applyBorder="1" applyAlignment="1" applyProtection="1">
      <alignment horizontal="right"/>
      <protection hidden="1"/>
    </xf>
    <xf numFmtId="44" fontId="0" fillId="0" borderId="1" xfId="0" applyNumberFormat="1" applyFill="1" applyBorder="1" applyProtection="1">
      <protection hidden="1"/>
    </xf>
    <xf numFmtId="0" fontId="0" fillId="0" borderId="5" xfId="0" applyBorder="1" applyProtection="1">
      <protection locked="0"/>
    </xf>
    <xf numFmtId="0" fontId="10" fillId="2" borderId="0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2" fillId="0" borderId="2" xfId="0" applyFont="1" applyFill="1" applyBorder="1" applyAlignment="1" applyProtection="1">
      <alignment horizontal="left"/>
      <protection locked="0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1" xfId="0" applyFont="1" applyFill="1" applyBorder="1" applyAlignment="1" applyProtection="1">
      <alignment horizontal="lef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14" fillId="4" borderId="0" xfId="0" applyFont="1" applyFill="1" applyBorder="1" applyAlignment="1" applyProtection="1">
      <alignment horizontal="center" vertical="center"/>
      <protection locked="0"/>
    </xf>
    <xf numFmtId="14" fontId="13" fillId="4" borderId="0" xfId="0" applyNumberFormat="1" applyFont="1" applyFill="1" applyBorder="1" applyAlignment="1" applyProtection="1">
      <alignment horizontal="center"/>
      <protection locked="0"/>
    </xf>
    <xf numFmtId="0" fontId="16" fillId="0" borderId="0" xfId="0" applyNumberFormat="1" applyFont="1" applyBorder="1" applyAlignment="1" applyProtection="1">
      <alignment horizontal="left"/>
      <protection hidden="1"/>
    </xf>
    <xf numFmtId="0" fontId="9" fillId="0" borderId="0" xfId="0" applyFont="1" applyAlignment="1">
      <alignment horizontal="left"/>
    </xf>
    <xf numFmtId="0" fontId="17" fillId="2" borderId="1" xfId="0" applyFont="1" applyFill="1" applyBorder="1" applyAlignment="1" applyProtection="1">
      <alignment horizontal="center"/>
      <protection locked="0"/>
    </xf>
    <xf numFmtId="0" fontId="17" fillId="2" borderId="2" xfId="0" applyFont="1" applyFill="1" applyBorder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17" fillId="2" borderId="4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right"/>
      <protection locked="0"/>
    </xf>
    <xf numFmtId="0" fontId="18" fillId="2" borderId="0" xfId="0" applyFont="1" applyFill="1" applyBorder="1" applyProtection="1">
      <protection locked="0"/>
    </xf>
    <xf numFmtId="44" fontId="17" fillId="2" borderId="0" xfId="0" applyNumberFormat="1" applyFont="1" applyFill="1" applyBorder="1" applyProtection="1">
      <protection hidden="1"/>
    </xf>
    <xf numFmtId="9" fontId="18" fillId="2" borderId="0" xfId="1" applyFont="1" applyFill="1" applyBorder="1" applyAlignment="1" applyProtection="1">
      <alignment horizontal="center"/>
      <protection locked="0"/>
    </xf>
    <xf numFmtId="0" fontId="17" fillId="2" borderId="1" xfId="0" applyFont="1" applyFill="1" applyBorder="1" applyProtection="1">
      <protection locked="0"/>
    </xf>
    <xf numFmtId="44" fontId="17" fillId="2" borderId="1" xfId="0" applyNumberFormat="1" applyFont="1" applyFill="1" applyBorder="1" applyProtection="1">
      <protection hidden="1"/>
    </xf>
    <xf numFmtId="0" fontId="17" fillId="2" borderId="2" xfId="0" applyFont="1" applyFill="1" applyBorder="1" applyProtection="1">
      <protection locked="0"/>
    </xf>
    <xf numFmtId="0" fontId="17" fillId="2" borderId="4" xfId="0" applyFont="1" applyFill="1" applyBorder="1" applyProtection="1">
      <protection locked="0"/>
    </xf>
    <xf numFmtId="0" fontId="17" fillId="2" borderId="2" xfId="0" applyFont="1" applyFill="1" applyBorder="1" applyAlignment="1" applyProtection="1">
      <alignment horizontal="left"/>
      <protection locked="0"/>
    </xf>
    <xf numFmtId="0" fontId="17" fillId="2" borderId="4" xfId="0" applyFont="1" applyFill="1" applyBorder="1" applyAlignment="1" applyProtection="1">
      <alignment horizontal="left"/>
      <protection locked="0"/>
    </xf>
  </cellXfs>
  <cellStyles count="2">
    <cellStyle name="Normal" xfId="0" builtinId="0"/>
    <cellStyle name="Porcentagem" xfId="1" builtinId="5"/>
  </cellStyles>
  <dxfs count="3">
    <dxf>
      <font>
        <color rgb="FF336600"/>
      </font>
    </dxf>
    <dxf>
      <font>
        <color rgb="FFC00000"/>
      </font>
    </dxf>
    <dxf>
      <font>
        <color rgb="FFFFC000"/>
      </font>
    </dxf>
  </dxfs>
  <tableStyles count="0" defaultTableStyle="TableStyleMedium2" defaultPivotStyle="PivotStyleLight16"/>
  <colors>
    <mruColors>
      <color rgb="FF336600"/>
      <color rgb="FF0033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</xdr:row>
      <xdr:rowOff>161926</xdr:rowOff>
    </xdr:from>
    <xdr:to>
      <xdr:col>5</xdr:col>
      <xdr:colOff>57149</xdr:colOff>
      <xdr:row>4</xdr:row>
      <xdr:rowOff>1</xdr:rowOff>
    </xdr:to>
    <xdr:sp macro="[0]!lancar_entrada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4352925" y="847726"/>
          <a:ext cx="1295399" cy="342900"/>
        </a:xfrm>
        <a:prstGeom prst="round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LANÇAR ENTRADA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133350</xdr:colOff>
      <xdr:row>1</xdr:row>
      <xdr:rowOff>171451</xdr:rowOff>
    </xdr:from>
    <xdr:to>
      <xdr:col>5</xdr:col>
      <xdr:colOff>1447800</xdr:colOff>
      <xdr:row>4</xdr:row>
      <xdr:rowOff>9526</xdr:rowOff>
    </xdr:to>
    <xdr:sp macro="[0]!lancar_saida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5724525" y="857251"/>
          <a:ext cx="1314450" cy="3429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LANÇAR SAÍDA</a:t>
          </a:r>
        </a:p>
      </xdr:txBody>
    </xdr:sp>
    <xdr:clientData/>
  </xdr:twoCellAnchor>
  <xdr:twoCellAnchor>
    <xdr:from>
      <xdr:col>5</xdr:col>
      <xdr:colOff>1581150</xdr:colOff>
      <xdr:row>1</xdr:row>
      <xdr:rowOff>171450</xdr:rowOff>
    </xdr:from>
    <xdr:to>
      <xdr:col>6</xdr:col>
      <xdr:colOff>619125</xdr:colOff>
      <xdr:row>4</xdr:row>
      <xdr:rowOff>9525</xdr:rowOff>
    </xdr:to>
    <xdr:sp macro="[0]!limpar_entrada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7172325" y="857250"/>
          <a:ext cx="885825" cy="342900"/>
        </a:xfrm>
        <a:prstGeom prst="round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  <xdr:twoCellAnchor>
    <xdr:from>
      <xdr:col>6</xdr:col>
      <xdr:colOff>685800</xdr:colOff>
      <xdr:row>1</xdr:row>
      <xdr:rowOff>180975</xdr:rowOff>
    </xdr:from>
    <xdr:to>
      <xdr:col>7</xdr:col>
      <xdr:colOff>666750</xdr:colOff>
      <xdr:row>4</xdr:row>
      <xdr:rowOff>19050</xdr:rowOff>
    </xdr:to>
    <xdr:sp macro="[0]!limpar_saida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124825" y="866775"/>
          <a:ext cx="885825" cy="3429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6</xdr:col>
      <xdr:colOff>419100</xdr:colOff>
      <xdr:row>23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52500"/>
          <a:ext cx="2857500" cy="3552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I27"/>
  <sheetViews>
    <sheetView tabSelected="1" topLeftCell="A4" workbookViewId="0">
      <selection activeCell="K14" sqref="K14"/>
    </sheetView>
  </sheetViews>
  <sheetFormatPr defaultColWidth="9.140625" defaultRowHeight="15" x14ac:dyDescent="0.25"/>
  <cols>
    <col min="1" max="1" width="29.28515625" style="3" bestFit="1" customWidth="1"/>
    <col min="2" max="2" width="16.140625" style="3" bestFit="1" customWidth="1"/>
    <col min="3" max="3" width="17.42578125" style="3" bestFit="1" customWidth="1"/>
    <col min="4" max="4" width="12.85546875" style="3" bestFit="1" customWidth="1"/>
    <col min="5" max="5" width="14.5703125" style="3" customWidth="1"/>
    <col min="6" max="6" width="16.85546875" style="3" bestFit="1" customWidth="1"/>
    <col min="7" max="7" width="9.140625" style="3"/>
    <col min="8" max="8" width="24.42578125" style="3" bestFit="1" customWidth="1"/>
    <col min="9" max="9" width="12.140625" style="3" bestFit="1" customWidth="1"/>
    <col min="10" max="16384" width="9.140625" style="3"/>
  </cols>
  <sheetData>
    <row r="1" spans="1:9" ht="33.75" x14ac:dyDescent="0.5">
      <c r="A1" s="67" t="s">
        <v>71</v>
      </c>
      <c r="B1" s="67"/>
      <c r="C1" s="67"/>
      <c r="D1" s="67"/>
      <c r="E1" s="67"/>
      <c r="F1" s="67"/>
      <c r="G1" s="41"/>
    </row>
    <row r="2" spans="1:9" ht="18.75" x14ac:dyDescent="0.3">
      <c r="A2" s="68" t="s">
        <v>0</v>
      </c>
      <c r="B2" s="68"/>
      <c r="C2" s="68"/>
      <c r="D2" s="68"/>
      <c r="E2" s="68"/>
      <c r="F2" s="68"/>
      <c r="G2" s="5"/>
      <c r="H2" s="69" t="s">
        <v>18</v>
      </c>
      <c r="I2" s="70"/>
    </row>
    <row r="3" spans="1:9" x14ac:dyDescent="0.25">
      <c r="A3" s="42" t="s">
        <v>1</v>
      </c>
      <c r="B3" s="42" t="s">
        <v>2</v>
      </c>
      <c r="C3" s="42" t="s">
        <v>3</v>
      </c>
      <c r="D3" s="42" t="s">
        <v>4</v>
      </c>
      <c r="E3" s="42" t="s">
        <v>5</v>
      </c>
      <c r="F3" s="42" t="s">
        <v>6</v>
      </c>
      <c r="G3" s="43"/>
      <c r="H3" s="44" t="s">
        <v>19</v>
      </c>
      <c r="I3" s="44" t="s">
        <v>20</v>
      </c>
    </row>
    <row r="4" spans="1:9" ht="14.45" x14ac:dyDescent="0.3">
      <c r="A4" s="45" t="s">
        <v>7</v>
      </c>
      <c r="B4" s="39">
        <v>1</v>
      </c>
      <c r="C4" s="39">
        <v>1</v>
      </c>
      <c r="D4" s="46">
        <v>2.2999999999999998</v>
      </c>
      <c r="E4" s="61">
        <f t="shared" ref="E4:E14" si="0">D4/C4</f>
        <v>2.2999999999999998</v>
      </c>
      <c r="F4" s="61">
        <f t="shared" ref="F4:F11" si="1">E4*B4</f>
        <v>2.2999999999999998</v>
      </c>
      <c r="G4" s="43"/>
      <c r="H4" s="45" t="s">
        <v>21</v>
      </c>
      <c r="I4" s="46">
        <v>1980.35</v>
      </c>
    </row>
    <row r="5" spans="1:9" ht="14.45" x14ac:dyDescent="0.3">
      <c r="A5" s="45" t="s">
        <v>8</v>
      </c>
      <c r="B5" s="39">
        <v>2</v>
      </c>
      <c r="C5" s="39">
        <v>1000</v>
      </c>
      <c r="D5" s="46">
        <v>1.55</v>
      </c>
      <c r="E5" s="61">
        <f t="shared" si="0"/>
        <v>1.5499999999999999E-3</v>
      </c>
      <c r="F5" s="61">
        <f t="shared" si="1"/>
        <v>3.0999999999999999E-3</v>
      </c>
      <c r="G5" s="43"/>
      <c r="H5" s="45" t="s">
        <v>25</v>
      </c>
      <c r="I5" s="46">
        <v>22.99</v>
      </c>
    </row>
    <row r="6" spans="1:9" ht="14.45" x14ac:dyDescent="0.3">
      <c r="A6" s="45" t="s">
        <v>9</v>
      </c>
      <c r="B6" s="39">
        <v>5</v>
      </c>
      <c r="C6" s="39">
        <v>500</v>
      </c>
      <c r="D6" s="46">
        <v>28.9</v>
      </c>
      <c r="E6" s="61">
        <f t="shared" si="0"/>
        <v>5.7799999999999997E-2</v>
      </c>
      <c r="F6" s="61">
        <f t="shared" si="1"/>
        <v>0.28899999999999998</v>
      </c>
      <c r="G6" s="43"/>
      <c r="H6" s="45" t="s">
        <v>22</v>
      </c>
      <c r="I6" s="46">
        <v>23.85</v>
      </c>
    </row>
    <row r="7" spans="1:9" x14ac:dyDescent="0.25">
      <c r="A7" s="45" t="s">
        <v>10</v>
      </c>
      <c r="B7" s="39">
        <v>15</v>
      </c>
      <c r="C7" s="39">
        <v>1000</v>
      </c>
      <c r="D7" s="46">
        <v>7.69</v>
      </c>
      <c r="E7" s="61">
        <f t="shared" si="0"/>
        <v>7.6900000000000007E-3</v>
      </c>
      <c r="F7" s="61">
        <f t="shared" si="1"/>
        <v>0.11535000000000001</v>
      </c>
      <c r="G7" s="43"/>
      <c r="H7" s="45" t="s">
        <v>23</v>
      </c>
      <c r="I7" s="46">
        <v>19.13</v>
      </c>
    </row>
    <row r="8" spans="1:9" x14ac:dyDescent="0.25">
      <c r="A8" s="45" t="s">
        <v>11</v>
      </c>
      <c r="B8" s="39">
        <v>20</v>
      </c>
      <c r="C8" s="39">
        <v>395</v>
      </c>
      <c r="D8" s="46">
        <v>5.78</v>
      </c>
      <c r="E8" s="61">
        <f t="shared" si="0"/>
        <v>1.4632911392405063E-2</v>
      </c>
      <c r="F8" s="61">
        <f t="shared" si="1"/>
        <v>0.29265822784810125</v>
      </c>
      <c r="G8" s="43"/>
      <c r="H8" s="92" t="s">
        <v>24</v>
      </c>
      <c r="I8" s="93">
        <f>SUM(I4:I7)</f>
        <v>2046.32</v>
      </c>
    </row>
    <row r="9" spans="1:9" ht="14.45" x14ac:dyDescent="0.3">
      <c r="A9" s="45" t="s">
        <v>12</v>
      </c>
      <c r="B9" s="39">
        <v>3</v>
      </c>
      <c r="C9" s="39">
        <v>100</v>
      </c>
      <c r="D9" s="46">
        <v>1.19</v>
      </c>
      <c r="E9" s="61">
        <f t="shared" si="0"/>
        <v>1.1899999999999999E-2</v>
      </c>
      <c r="F9" s="61">
        <f t="shared" si="1"/>
        <v>3.5699999999999996E-2</v>
      </c>
      <c r="G9" s="43"/>
    </row>
    <row r="10" spans="1:9" ht="14.45" x14ac:dyDescent="0.3">
      <c r="A10" s="45" t="s">
        <v>14</v>
      </c>
      <c r="B10" s="39">
        <v>1</v>
      </c>
      <c r="C10" s="39">
        <v>1000</v>
      </c>
      <c r="D10" s="46">
        <v>14.48</v>
      </c>
      <c r="E10" s="61">
        <f t="shared" si="0"/>
        <v>1.448E-2</v>
      </c>
      <c r="F10" s="61">
        <f t="shared" si="1"/>
        <v>1.448E-2</v>
      </c>
      <c r="G10" s="43"/>
    </row>
    <row r="11" spans="1:9" ht="14.45" x14ac:dyDescent="0.3">
      <c r="A11" s="45" t="s">
        <v>36</v>
      </c>
      <c r="B11" s="39">
        <v>1</v>
      </c>
      <c r="C11" s="39">
        <v>1000</v>
      </c>
      <c r="D11" s="46">
        <v>35</v>
      </c>
      <c r="E11" s="61">
        <f t="shared" si="0"/>
        <v>3.5000000000000003E-2</v>
      </c>
      <c r="F11" s="61">
        <f t="shared" si="1"/>
        <v>3.5000000000000003E-2</v>
      </c>
      <c r="G11" s="43"/>
    </row>
    <row r="12" spans="1:9" ht="14.45" customHeight="1" x14ac:dyDescent="0.3">
      <c r="A12" s="45" t="s">
        <v>73</v>
      </c>
      <c r="B12" s="39">
        <v>6</v>
      </c>
      <c r="C12" s="39">
        <v>100</v>
      </c>
      <c r="D12" s="46">
        <v>16.88</v>
      </c>
      <c r="E12" s="61">
        <f t="shared" si="0"/>
        <v>0.16879999999999998</v>
      </c>
      <c r="F12" s="61">
        <f>E12/B12</f>
        <v>2.813333333333333E-2</v>
      </c>
      <c r="G12" s="43"/>
    </row>
    <row r="13" spans="1:9" ht="14.45" customHeight="1" x14ac:dyDescent="0.3">
      <c r="A13" s="66" t="s">
        <v>74</v>
      </c>
      <c r="B13" s="49">
        <v>6</v>
      </c>
      <c r="C13" s="49">
        <v>100</v>
      </c>
      <c r="D13" s="50">
        <v>15.34</v>
      </c>
      <c r="E13" s="62">
        <f t="shared" si="0"/>
        <v>0.15340000000000001</v>
      </c>
      <c r="F13" s="62">
        <f>E13/B13</f>
        <v>2.5566666666666668E-2</v>
      </c>
      <c r="G13" s="43"/>
    </row>
    <row r="14" spans="1:9" x14ac:dyDescent="0.25">
      <c r="A14" s="47" t="s">
        <v>13</v>
      </c>
      <c r="B14" s="48">
        <v>1000</v>
      </c>
      <c r="C14" s="49">
        <v>1000</v>
      </c>
      <c r="D14" s="50">
        <v>5.54</v>
      </c>
      <c r="E14" s="62">
        <f t="shared" si="0"/>
        <v>5.5399999999999998E-3</v>
      </c>
      <c r="F14" s="62">
        <f>E14*B14</f>
        <v>5.54</v>
      </c>
    </row>
    <row r="15" spans="1:9" x14ac:dyDescent="0.25">
      <c r="A15" s="88" t="s">
        <v>15</v>
      </c>
      <c r="B15" s="88"/>
      <c r="C15" s="88"/>
      <c r="D15" s="88"/>
      <c r="E15" s="89"/>
      <c r="F15" s="90">
        <f>SUM(F4:F14)</f>
        <v>8.6789882278481016</v>
      </c>
    </row>
    <row r="16" spans="1:9" x14ac:dyDescent="0.25">
      <c r="A16" s="88" t="s">
        <v>16</v>
      </c>
      <c r="B16" s="88"/>
      <c r="C16" s="88"/>
      <c r="D16" s="88"/>
      <c r="E16" s="91">
        <v>0.441</v>
      </c>
      <c r="F16" s="90">
        <f>F15*E16</f>
        <v>3.8274338084810129</v>
      </c>
    </row>
    <row r="17" spans="1:9" x14ac:dyDescent="0.25">
      <c r="A17" s="88" t="s">
        <v>17</v>
      </c>
      <c r="B17" s="88"/>
      <c r="C17" s="88"/>
      <c r="D17" s="88"/>
      <c r="E17" s="89"/>
      <c r="F17" s="90">
        <f>F15+F16</f>
        <v>12.506422036329115</v>
      </c>
    </row>
    <row r="19" spans="1:9" x14ac:dyDescent="0.25">
      <c r="A19" s="84" t="s">
        <v>26</v>
      </c>
      <c r="B19" s="84"/>
      <c r="C19" s="84"/>
      <c r="D19" s="85" t="s">
        <v>27</v>
      </c>
      <c r="E19" s="86"/>
      <c r="F19" s="87"/>
    </row>
    <row r="20" spans="1:9" x14ac:dyDescent="0.25">
      <c r="A20" s="51" t="s">
        <v>40</v>
      </c>
      <c r="B20" s="44" t="s">
        <v>29</v>
      </c>
      <c r="C20" s="44" t="s">
        <v>20</v>
      </c>
      <c r="D20" s="75" t="s">
        <v>42</v>
      </c>
      <c r="E20" s="76"/>
      <c r="F20" s="52">
        <v>600</v>
      </c>
    </row>
    <row r="21" spans="1:9" x14ac:dyDescent="0.25">
      <c r="A21" s="53" t="s">
        <v>37</v>
      </c>
      <c r="B21" s="54">
        <v>120</v>
      </c>
      <c r="C21" s="65">
        <f>I4/B21</f>
        <v>16.502916666666668</v>
      </c>
      <c r="D21" s="77" t="s">
        <v>30</v>
      </c>
      <c r="E21" s="77"/>
      <c r="F21" s="52">
        <v>569</v>
      </c>
    </row>
    <row r="22" spans="1:9" ht="14.45" x14ac:dyDescent="0.3">
      <c r="A22" s="53" t="s">
        <v>72</v>
      </c>
      <c r="B22" s="54">
        <v>24</v>
      </c>
      <c r="C22" s="65">
        <f>I5/B22</f>
        <v>0.95791666666666664</v>
      </c>
      <c r="D22" s="55"/>
      <c r="E22" s="55"/>
      <c r="F22" s="56"/>
      <c r="I22" s="57"/>
    </row>
    <row r="23" spans="1:9" x14ac:dyDescent="0.25">
      <c r="A23" s="45" t="s">
        <v>38</v>
      </c>
      <c r="B23" s="39">
        <v>36</v>
      </c>
      <c r="C23" s="61">
        <f>I6/B23</f>
        <v>0.66250000000000009</v>
      </c>
      <c r="D23" s="78" t="s">
        <v>27</v>
      </c>
      <c r="E23" s="79"/>
      <c r="F23" s="63">
        <f>F20*F15</f>
        <v>5207.3929367088613</v>
      </c>
    </row>
    <row r="24" spans="1:9" ht="14.45" x14ac:dyDescent="0.3">
      <c r="A24" s="45" t="s">
        <v>39</v>
      </c>
      <c r="B24" s="39">
        <v>6</v>
      </c>
      <c r="C24" s="61">
        <f>I7/B24</f>
        <v>3.188333333333333</v>
      </c>
      <c r="D24" s="78" t="s">
        <v>28</v>
      </c>
      <c r="E24" s="79"/>
      <c r="F24" s="64">
        <f>F23+C27</f>
        <v>7100.7046033755278</v>
      </c>
    </row>
    <row r="25" spans="1:9" ht="14.45" x14ac:dyDescent="0.3">
      <c r="A25" s="73" t="s">
        <v>41</v>
      </c>
      <c r="B25" s="74"/>
      <c r="C25" s="46">
        <v>72</v>
      </c>
      <c r="D25" s="58"/>
      <c r="E25" s="59"/>
      <c r="F25" s="60"/>
    </row>
    <row r="26" spans="1:9" x14ac:dyDescent="0.25">
      <c r="A26" s="71" t="s">
        <v>75</v>
      </c>
      <c r="B26" s="72"/>
      <c r="C26" s="46">
        <v>1800</v>
      </c>
      <c r="D26" s="78" t="s">
        <v>31</v>
      </c>
      <c r="E26" s="79"/>
      <c r="F26" s="63">
        <f>F17*F20</f>
        <v>7503.8532217974689</v>
      </c>
    </row>
    <row r="27" spans="1:9" x14ac:dyDescent="0.25">
      <c r="A27" s="94" t="s">
        <v>33</v>
      </c>
      <c r="B27" s="95"/>
      <c r="C27" s="93">
        <f>SUM(C21:C26)</f>
        <v>1893.3116666666667</v>
      </c>
      <c r="D27" s="96" t="s">
        <v>32</v>
      </c>
      <c r="E27" s="97"/>
      <c r="F27" s="93">
        <f>F26-F24</f>
        <v>403.14861842194114</v>
      </c>
    </row>
  </sheetData>
  <mergeCells count="17">
    <mergeCell ref="A27:B27"/>
    <mergeCell ref="D19:F19"/>
    <mergeCell ref="D20:E20"/>
    <mergeCell ref="D21:E21"/>
    <mergeCell ref="D23:E23"/>
    <mergeCell ref="D24:E24"/>
    <mergeCell ref="D26:E26"/>
    <mergeCell ref="D27:E27"/>
    <mergeCell ref="A1:F1"/>
    <mergeCell ref="A2:F2"/>
    <mergeCell ref="H2:I2"/>
    <mergeCell ref="A19:C19"/>
    <mergeCell ref="A26:B26"/>
    <mergeCell ref="A25:B25"/>
    <mergeCell ref="A16:D16"/>
    <mergeCell ref="A15:D15"/>
    <mergeCell ref="A17:D17"/>
  </mergeCells>
  <pageMargins left="0.51181102362204722" right="0.51181102362204722" top="0.78740157480314965" bottom="0.78740157480314965" header="0.31496062992125984" footer="0.31496062992125984"/>
  <pageSetup paperSize="9" scale="8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F36"/>
  <sheetViews>
    <sheetView showGridLines="0" zoomScale="90" zoomScaleNormal="90" workbookViewId="0">
      <selection activeCell="G10" sqref="G10"/>
    </sheetView>
  </sheetViews>
  <sheetFormatPr defaultColWidth="0" defaultRowHeight="15" zeroHeight="1" x14ac:dyDescent="0.25"/>
  <cols>
    <col min="1" max="1" width="13.85546875" style="3" bestFit="1" customWidth="1"/>
    <col min="2" max="2" width="13.140625" style="3" bestFit="1" customWidth="1"/>
    <col min="3" max="3" width="30.42578125" style="3" customWidth="1"/>
    <col min="4" max="4" width="13.5703125" style="3" bestFit="1" customWidth="1"/>
    <col min="5" max="5" width="14.85546875" style="3" bestFit="1" customWidth="1"/>
    <col min="6" max="6" width="27.7109375" style="3" customWidth="1"/>
    <col min="7" max="7" width="13.5703125" style="3" bestFit="1" customWidth="1"/>
    <col min="8" max="8" width="10.85546875" style="3" bestFit="1" customWidth="1"/>
    <col min="9" max="9" width="5.140625" style="3" hidden="1" customWidth="1"/>
    <col min="10" max="10" width="4" style="3" hidden="1" customWidth="1"/>
    <col min="11" max="11" width="4.85546875" style="3" hidden="1" customWidth="1"/>
    <col min="12" max="12" width="5.140625" style="3" hidden="1" customWidth="1"/>
    <col min="13" max="13" width="4.28515625" style="3" hidden="1" customWidth="1"/>
    <col min="14" max="31" width="9.140625" style="3" hidden="1" customWidth="1"/>
    <col min="32" max="32" width="11.5703125" style="3" hidden="1" customWidth="1"/>
    <col min="33" max="16384" width="9.140625" style="3" hidden="1"/>
  </cols>
  <sheetData>
    <row r="1" spans="1:32" ht="54" customHeight="1" x14ac:dyDescent="0.4">
      <c r="A1" s="80" t="s">
        <v>55</v>
      </c>
      <c r="B1" s="80"/>
      <c r="C1" s="80"/>
      <c r="D1" s="80"/>
      <c r="E1" s="80"/>
      <c r="F1" s="80"/>
      <c r="G1" s="80"/>
      <c r="H1" s="80"/>
      <c r="I1" s="2"/>
      <c r="J1" s="2"/>
      <c r="K1" s="2"/>
      <c r="L1" s="2"/>
      <c r="M1" s="2"/>
    </row>
    <row r="2" spans="1:32" ht="14.45" x14ac:dyDescent="0.3">
      <c r="A2" s="4"/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</row>
    <row r="3" spans="1:32" ht="18.75" x14ac:dyDescent="0.3">
      <c r="A3" s="6"/>
      <c r="B3" s="7" t="s">
        <v>57</v>
      </c>
      <c r="C3" s="8" t="s">
        <v>62</v>
      </c>
      <c r="D3" s="9"/>
      <c r="E3" s="9"/>
      <c r="F3" s="9"/>
      <c r="G3" s="9"/>
      <c r="H3" s="10"/>
      <c r="I3" s="11"/>
      <c r="J3" s="11"/>
      <c r="K3" s="11"/>
      <c r="L3" s="11"/>
      <c r="M3" s="11"/>
    </row>
    <row r="4" spans="1:32" ht="6" customHeight="1" x14ac:dyDescent="0.3">
      <c r="A4" s="6"/>
      <c r="B4" s="12"/>
      <c r="C4" s="9"/>
      <c r="D4" s="9"/>
      <c r="E4" s="9"/>
      <c r="F4" s="9"/>
      <c r="G4" s="9"/>
      <c r="H4" s="10"/>
      <c r="I4" s="11"/>
      <c r="J4" s="11"/>
      <c r="K4" s="11"/>
      <c r="L4" s="11"/>
      <c r="M4" s="11"/>
    </row>
    <row r="5" spans="1:32" ht="18" x14ac:dyDescent="0.35">
      <c r="A5" s="6"/>
      <c r="B5" s="7" t="s">
        <v>56</v>
      </c>
      <c r="C5" s="13" t="s">
        <v>62</v>
      </c>
      <c r="D5" s="9"/>
      <c r="E5" s="9"/>
      <c r="F5" s="9"/>
      <c r="G5" s="9"/>
      <c r="H5" s="10"/>
      <c r="I5" s="11"/>
      <c r="J5" s="11"/>
      <c r="K5" s="11"/>
      <c r="L5" s="11"/>
      <c r="M5" s="11"/>
      <c r="O5" s="14"/>
      <c r="AF5" s="15" t="s">
        <v>43</v>
      </c>
    </row>
    <row r="6" spans="1:32" ht="15.6" x14ac:dyDescent="0.3">
      <c r="A6" s="6"/>
      <c r="B6" s="12"/>
      <c r="C6" s="9"/>
      <c r="D6" s="9"/>
      <c r="E6" s="9"/>
      <c r="F6" s="9"/>
      <c r="G6" s="9"/>
      <c r="H6" s="16"/>
      <c r="I6" s="11"/>
      <c r="J6" s="11"/>
      <c r="K6" s="11"/>
      <c r="L6" s="11"/>
      <c r="M6" s="11"/>
      <c r="AF6" s="15" t="s">
        <v>44</v>
      </c>
    </row>
    <row r="7" spans="1:32" ht="18" x14ac:dyDescent="0.4">
      <c r="A7" s="6"/>
      <c r="B7" s="12"/>
      <c r="C7" s="9"/>
      <c r="D7" s="9"/>
      <c r="E7" s="17" t="s">
        <v>68</v>
      </c>
      <c r="F7" s="18"/>
      <c r="G7" s="19"/>
      <c r="H7" s="16"/>
      <c r="I7" s="11"/>
      <c r="J7" s="11"/>
      <c r="K7" s="11"/>
      <c r="L7" s="11"/>
      <c r="M7" s="11"/>
      <c r="AF7" s="15" t="s">
        <v>45</v>
      </c>
    </row>
    <row r="8" spans="1:32" ht="15.6" x14ac:dyDescent="0.3">
      <c r="A8" s="6"/>
      <c r="B8" s="12"/>
      <c r="C8" s="9"/>
      <c r="D8" s="9"/>
      <c r="E8" s="9"/>
      <c r="F8" s="9"/>
      <c r="G8" s="9"/>
      <c r="H8" s="16"/>
      <c r="I8" s="11"/>
      <c r="J8" s="11"/>
      <c r="K8" s="11"/>
      <c r="L8" s="11"/>
      <c r="M8" s="11"/>
      <c r="AF8" s="15" t="s">
        <v>46</v>
      </c>
    </row>
    <row r="9" spans="1:32" ht="15.6" x14ac:dyDescent="0.3">
      <c r="A9" s="6"/>
      <c r="B9" s="12"/>
      <c r="C9" s="9"/>
      <c r="D9" s="9"/>
      <c r="E9" s="17" t="s">
        <v>58</v>
      </c>
      <c r="F9" s="28">
        <f>entrada!B3-saida!B3</f>
        <v>0</v>
      </c>
      <c r="G9" s="27"/>
      <c r="H9" s="16"/>
      <c r="I9" s="11"/>
      <c r="J9" s="11"/>
      <c r="K9" s="11"/>
      <c r="L9" s="11"/>
      <c r="M9" s="11"/>
      <c r="AF9" s="15" t="s">
        <v>47</v>
      </c>
    </row>
    <row r="10" spans="1:32" ht="15.6" x14ac:dyDescent="0.3">
      <c r="A10" s="6"/>
      <c r="B10" s="12"/>
      <c r="C10" s="9"/>
      <c r="D10" s="9"/>
      <c r="E10" s="9"/>
      <c r="F10" s="9"/>
      <c r="G10" s="9"/>
      <c r="H10" s="16"/>
      <c r="I10" s="11"/>
      <c r="J10" s="11"/>
      <c r="K10" s="11"/>
      <c r="L10" s="11"/>
      <c r="M10" s="11"/>
      <c r="AF10" s="15" t="s">
        <v>48</v>
      </c>
    </row>
    <row r="11" spans="1:32" ht="15.6" x14ac:dyDescent="0.3">
      <c r="A11" s="6"/>
      <c r="B11" s="12"/>
      <c r="C11" s="9"/>
      <c r="D11" s="9"/>
      <c r="E11" s="17" t="s">
        <v>59</v>
      </c>
      <c r="F11" s="28">
        <f>F7+F9</f>
        <v>0</v>
      </c>
      <c r="G11" s="9"/>
      <c r="H11" s="16"/>
      <c r="I11" s="11"/>
      <c r="J11" s="11"/>
      <c r="K11" s="11"/>
      <c r="L11" s="11"/>
      <c r="M11" s="11"/>
      <c r="AF11" s="15" t="s">
        <v>49</v>
      </c>
    </row>
    <row r="12" spans="1:32" ht="15.6" x14ac:dyDescent="0.3">
      <c r="A12" s="6"/>
      <c r="B12" s="12"/>
      <c r="C12" s="9"/>
      <c r="D12" s="9"/>
      <c r="E12" s="9"/>
      <c r="F12" s="9"/>
      <c r="G12" s="9"/>
      <c r="H12" s="16"/>
      <c r="I12" s="11"/>
      <c r="J12" s="11"/>
      <c r="K12" s="11"/>
      <c r="L12" s="11"/>
      <c r="M12" s="11"/>
      <c r="AF12" s="15" t="s">
        <v>50</v>
      </c>
    </row>
    <row r="13" spans="1:32" ht="26.25" x14ac:dyDescent="0.4">
      <c r="A13" s="20" t="s">
        <v>70</v>
      </c>
      <c r="B13" s="82" t="str">
        <f>IF(F11&lt;F7,"SALDO NEGATIVO",IF(F11=F7,"ESTÁVEL","SALDO POSITIVO"))</f>
        <v>ESTÁVEL</v>
      </c>
      <c r="C13" s="82"/>
      <c r="D13" s="82"/>
      <c r="E13" s="82"/>
      <c r="F13" s="82"/>
      <c r="G13" s="82"/>
      <c r="H13" s="16"/>
      <c r="I13" s="11"/>
      <c r="J13" s="11"/>
      <c r="K13" s="11"/>
      <c r="L13" s="11"/>
      <c r="M13" s="11"/>
      <c r="AF13" s="15" t="s">
        <v>51</v>
      </c>
    </row>
    <row r="14" spans="1:32" ht="15.6" x14ac:dyDescent="0.3">
      <c r="A14" s="6"/>
      <c r="B14" s="12"/>
      <c r="C14" s="9"/>
      <c r="D14" s="9"/>
      <c r="E14" s="9"/>
      <c r="F14" s="9"/>
      <c r="G14" s="9"/>
      <c r="H14" s="16"/>
      <c r="I14" s="11"/>
      <c r="J14" s="11"/>
      <c r="K14" s="11"/>
      <c r="L14" s="11"/>
      <c r="M14" s="11"/>
      <c r="AF14" s="15"/>
    </row>
    <row r="15" spans="1:32" ht="29.25" customHeight="1" x14ac:dyDescent="0.3">
      <c r="A15" s="81"/>
      <c r="B15" s="81"/>
      <c r="C15" s="81"/>
      <c r="D15" s="81"/>
      <c r="E15" s="81"/>
      <c r="F15" s="81"/>
      <c r="G15" s="81"/>
      <c r="H15" s="81"/>
      <c r="I15" s="11"/>
      <c r="J15" s="11"/>
      <c r="K15" s="11"/>
      <c r="L15" s="11"/>
      <c r="M15" s="11"/>
      <c r="AF15" s="15" t="s">
        <v>52</v>
      </c>
    </row>
    <row r="16" spans="1:32" ht="15.6" hidden="1" x14ac:dyDescent="0.3">
      <c r="A16" s="6"/>
      <c r="B16" s="12"/>
      <c r="C16" s="9"/>
      <c r="D16" s="9"/>
      <c r="E16" s="9"/>
      <c r="F16" s="9"/>
      <c r="G16" s="9"/>
      <c r="H16" s="16"/>
      <c r="I16" s="11"/>
      <c r="J16" s="11"/>
      <c r="K16" s="11"/>
      <c r="L16" s="11"/>
      <c r="M16" s="11"/>
      <c r="AF16" s="15" t="s">
        <v>53</v>
      </c>
    </row>
    <row r="17" spans="1:32" ht="15.6" hidden="1" x14ac:dyDescent="0.3">
      <c r="A17" s="6"/>
      <c r="B17" s="12"/>
      <c r="C17" s="9"/>
      <c r="D17" s="9"/>
      <c r="E17" s="9"/>
      <c r="F17" s="9"/>
      <c r="G17" s="9"/>
      <c r="H17" s="16"/>
      <c r="I17" s="11"/>
      <c r="J17" s="11"/>
      <c r="K17" s="11"/>
      <c r="L17" s="11"/>
      <c r="M17" s="11"/>
      <c r="AF17" s="15" t="s">
        <v>54</v>
      </c>
    </row>
    <row r="18" spans="1:32" ht="15.6" hidden="1" x14ac:dyDescent="0.3">
      <c r="A18" s="6"/>
      <c r="B18" s="12"/>
      <c r="C18" s="9"/>
      <c r="D18" s="9"/>
      <c r="E18" s="9"/>
      <c r="F18" s="9"/>
      <c r="G18" s="9"/>
      <c r="H18" s="16"/>
      <c r="I18" s="11"/>
      <c r="J18" s="11"/>
      <c r="K18" s="11"/>
      <c r="L18" s="11"/>
      <c r="M18" s="11"/>
    </row>
    <row r="19" spans="1:32" ht="15.6" hidden="1" x14ac:dyDescent="0.3">
      <c r="A19" s="6"/>
      <c r="B19" s="12"/>
      <c r="C19" s="9"/>
      <c r="D19" s="9"/>
      <c r="E19" s="9"/>
      <c r="F19" s="9"/>
      <c r="G19" s="9"/>
      <c r="H19" s="16"/>
      <c r="I19" s="11"/>
      <c r="J19" s="11"/>
      <c r="K19" s="11"/>
      <c r="L19" s="11"/>
      <c r="M19" s="11"/>
    </row>
    <row r="20" spans="1:32" ht="15.6" hidden="1" x14ac:dyDescent="0.3">
      <c r="A20" s="6"/>
      <c r="B20" s="12"/>
      <c r="C20" s="9"/>
      <c r="D20" s="9"/>
      <c r="E20" s="9"/>
      <c r="F20" s="9"/>
      <c r="G20" s="9"/>
      <c r="H20" s="16"/>
      <c r="I20" s="11"/>
      <c r="J20" s="11"/>
      <c r="K20" s="11"/>
      <c r="L20" s="11"/>
      <c r="M20" s="11"/>
    </row>
    <row r="21" spans="1:32" ht="15.6" hidden="1" x14ac:dyDescent="0.3">
      <c r="A21" s="6"/>
      <c r="B21" s="12"/>
      <c r="C21" s="9"/>
      <c r="D21" s="9"/>
      <c r="E21" s="9"/>
      <c r="F21" s="9"/>
      <c r="G21" s="9"/>
      <c r="H21" s="16"/>
      <c r="I21" s="11"/>
      <c r="J21" s="11"/>
      <c r="K21" s="11"/>
      <c r="L21" s="11"/>
      <c r="M21" s="11"/>
    </row>
    <row r="22" spans="1:32" ht="15.6" hidden="1" x14ac:dyDescent="0.3">
      <c r="A22" s="6"/>
      <c r="B22" s="12"/>
      <c r="C22" s="9"/>
      <c r="D22" s="9"/>
      <c r="E22" s="9"/>
      <c r="F22" s="9"/>
      <c r="G22" s="9"/>
      <c r="H22" s="16"/>
      <c r="I22" s="11"/>
      <c r="J22" s="11"/>
      <c r="K22" s="11"/>
      <c r="L22" s="11"/>
      <c r="M22" s="11"/>
    </row>
    <row r="23" spans="1:32" ht="15.6" hidden="1" x14ac:dyDescent="0.3">
      <c r="A23" s="6"/>
      <c r="B23" s="12"/>
      <c r="C23" s="9"/>
      <c r="D23" s="9"/>
      <c r="E23" s="9"/>
      <c r="F23" s="9"/>
      <c r="G23" s="9"/>
      <c r="H23" s="16"/>
      <c r="I23" s="11"/>
      <c r="J23" s="11"/>
      <c r="K23" s="11"/>
      <c r="L23" s="11"/>
      <c r="M23" s="11"/>
    </row>
    <row r="24" spans="1:32" ht="15.6" hidden="1" x14ac:dyDescent="0.3">
      <c r="A24" s="6"/>
      <c r="B24" s="12"/>
      <c r="C24" s="9"/>
      <c r="D24" s="9"/>
      <c r="E24" s="9"/>
      <c r="F24" s="9"/>
      <c r="G24" s="9"/>
      <c r="H24" s="16"/>
      <c r="I24" s="11"/>
      <c r="J24" s="11"/>
      <c r="K24" s="11"/>
      <c r="L24" s="11"/>
      <c r="M24" s="11"/>
    </row>
    <row r="25" spans="1:32" ht="15.6" hidden="1" x14ac:dyDescent="0.3">
      <c r="A25" s="6"/>
      <c r="B25" s="12"/>
      <c r="C25" s="9"/>
      <c r="D25" s="9"/>
      <c r="E25" s="9"/>
      <c r="F25" s="9"/>
      <c r="G25" s="9"/>
      <c r="H25" s="16"/>
      <c r="I25" s="11"/>
      <c r="J25" s="11"/>
      <c r="K25" s="11"/>
      <c r="L25" s="11"/>
      <c r="M25" s="11"/>
    </row>
    <row r="26" spans="1:32" ht="15.6" hidden="1" x14ac:dyDescent="0.3">
      <c r="A26" s="6"/>
      <c r="B26" s="12"/>
      <c r="C26" s="9"/>
      <c r="D26" s="9"/>
      <c r="E26" s="9"/>
      <c r="F26" s="9"/>
      <c r="G26" s="9"/>
      <c r="H26" s="16"/>
      <c r="I26" s="11"/>
      <c r="J26" s="11"/>
      <c r="K26" s="11"/>
      <c r="L26" s="11"/>
      <c r="M26" s="11"/>
    </row>
    <row r="27" spans="1:32" ht="15.6" hidden="1" x14ac:dyDescent="0.3">
      <c r="A27" s="6"/>
      <c r="B27" s="12"/>
      <c r="C27" s="9"/>
      <c r="D27" s="9"/>
      <c r="E27" s="9"/>
      <c r="F27" s="9"/>
      <c r="G27" s="9"/>
      <c r="H27" s="16"/>
      <c r="I27" s="11"/>
      <c r="J27" s="11"/>
      <c r="K27" s="11"/>
      <c r="L27" s="11"/>
      <c r="M27" s="11"/>
    </row>
    <row r="28" spans="1:32" ht="15.6" hidden="1" x14ac:dyDescent="0.3">
      <c r="A28" s="6"/>
      <c r="B28" s="12"/>
      <c r="C28" s="9"/>
      <c r="D28" s="9"/>
      <c r="E28" s="9"/>
      <c r="F28" s="9"/>
      <c r="G28" s="9"/>
      <c r="H28" s="16"/>
      <c r="I28" s="11"/>
      <c r="J28" s="11"/>
      <c r="K28" s="11"/>
      <c r="L28" s="11"/>
      <c r="M28" s="11"/>
    </row>
    <row r="29" spans="1:32" ht="15.6" hidden="1" x14ac:dyDescent="0.3">
      <c r="A29" s="6"/>
      <c r="B29" s="12"/>
      <c r="C29" s="9"/>
      <c r="D29" s="9"/>
      <c r="E29" s="9"/>
      <c r="F29" s="9"/>
      <c r="G29" s="9"/>
      <c r="H29" s="16"/>
      <c r="I29" s="11"/>
      <c r="J29" s="11"/>
      <c r="K29" s="11"/>
      <c r="L29" s="11"/>
      <c r="M29" s="11"/>
    </row>
    <row r="30" spans="1:32" ht="15.6" hidden="1" x14ac:dyDescent="0.3">
      <c r="A30" s="6"/>
      <c r="B30" s="12"/>
      <c r="C30" s="9"/>
      <c r="D30" s="9"/>
      <c r="E30" s="9"/>
      <c r="F30" s="9"/>
      <c r="G30" s="9"/>
      <c r="H30" s="16"/>
      <c r="I30" s="11"/>
      <c r="J30" s="11"/>
      <c r="K30" s="11"/>
      <c r="L30" s="11"/>
      <c r="M30" s="11"/>
    </row>
    <row r="31" spans="1:32" ht="15.6" hidden="1" x14ac:dyDescent="0.3">
      <c r="A31" s="6"/>
      <c r="B31" s="12"/>
      <c r="C31" s="9"/>
      <c r="D31" s="9"/>
      <c r="E31" s="9"/>
      <c r="F31" s="9"/>
      <c r="G31" s="9"/>
      <c r="H31" s="16"/>
      <c r="I31" s="11"/>
      <c r="J31" s="11"/>
      <c r="K31" s="11"/>
      <c r="L31" s="11"/>
      <c r="M31" s="11"/>
    </row>
    <row r="32" spans="1:32" ht="15.6" hidden="1" x14ac:dyDescent="0.3">
      <c r="A32" s="6"/>
      <c r="B32" s="12"/>
      <c r="C32" s="9"/>
      <c r="D32" s="9"/>
      <c r="E32" s="9"/>
      <c r="F32" s="9"/>
      <c r="G32" s="9"/>
      <c r="H32" s="16"/>
      <c r="I32" s="11"/>
      <c r="J32" s="11"/>
      <c r="K32" s="11"/>
      <c r="L32" s="11"/>
      <c r="M32" s="11"/>
    </row>
    <row r="33" spans="1:16" ht="15.6" hidden="1" x14ac:dyDescent="0.3">
      <c r="A33" s="6"/>
      <c r="B33" s="12"/>
      <c r="C33" s="9"/>
      <c r="D33" s="9"/>
      <c r="E33" s="9"/>
      <c r="F33" s="9"/>
      <c r="G33" s="9"/>
      <c r="H33" s="16"/>
      <c r="I33" s="11"/>
      <c r="J33" s="11"/>
      <c r="K33" s="11"/>
      <c r="L33" s="11"/>
      <c r="M33" s="11"/>
      <c r="P33" s="21"/>
    </row>
    <row r="34" spans="1:16" ht="15.6" hidden="1" x14ac:dyDescent="0.3">
      <c r="A34" s="6"/>
      <c r="B34" s="12"/>
      <c r="C34" s="9"/>
      <c r="D34" s="9"/>
      <c r="E34" s="9"/>
      <c r="F34" s="9"/>
      <c r="G34" s="9"/>
      <c r="H34" s="16"/>
      <c r="I34" s="11"/>
      <c r="J34" s="11"/>
      <c r="K34" s="11"/>
      <c r="L34" s="11"/>
      <c r="M34" s="11"/>
    </row>
    <row r="35" spans="1:16" ht="15.6" hidden="1" x14ac:dyDescent="0.3">
      <c r="A35" s="6"/>
      <c r="B35" s="12"/>
      <c r="C35" s="9"/>
      <c r="D35" s="9"/>
      <c r="E35" s="9"/>
      <c r="F35" s="9"/>
      <c r="G35" s="9"/>
      <c r="H35" s="16"/>
      <c r="I35" s="11"/>
      <c r="J35" s="11"/>
      <c r="K35" s="11"/>
      <c r="L35" s="11"/>
      <c r="M35" s="11"/>
    </row>
    <row r="36" spans="1:16" ht="15.6" hidden="1" x14ac:dyDescent="0.3">
      <c r="A36" s="22"/>
      <c r="B36" s="23"/>
      <c r="C36" s="24"/>
      <c r="D36" s="24"/>
      <c r="E36" s="24"/>
      <c r="F36" s="24"/>
      <c r="G36" s="24"/>
      <c r="H36" s="25"/>
      <c r="I36" s="26"/>
      <c r="J36" s="26"/>
      <c r="K36" s="26"/>
      <c r="L36" s="26"/>
      <c r="M36" s="26"/>
    </row>
  </sheetData>
  <mergeCells count="3">
    <mergeCell ref="A1:H1"/>
    <mergeCell ref="A15:H15"/>
    <mergeCell ref="B13:G13"/>
  </mergeCells>
  <conditionalFormatting sqref="B13:G13">
    <cfRule type="cellIs" dxfId="2" priority="1" operator="equal">
      <formula>"ESTÁVEL"</formula>
    </cfRule>
    <cfRule type="cellIs" dxfId="1" priority="2" operator="equal">
      <formula>"SALDO NEGATIVO"</formula>
    </cfRule>
    <cfRule type="cellIs" dxfId="0" priority="3" operator="equal">
      <formula>"SALDO POSITIVO"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49"/>
  <sheetViews>
    <sheetView workbookViewId="0">
      <selection activeCell="B3" sqref="B3"/>
    </sheetView>
  </sheetViews>
  <sheetFormatPr defaultColWidth="0" defaultRowHeight="15" zeroHeight="1" x14ac:dyDescent="0.25"/>
  <cols>
    <col min="1" max="1" width="50.7109375" style="29" customWidth="1"/>
    <col min="2" max="2" width="19.7109375" style="29" customWidth="1"/>
    <col min="3" max="16384" width="9.140625" style="29" hidden="1"/>
  </cols>
  <sheetData>
    <row r="1" spans="1:2" ht="14.45" x14ac:dyDescent="0.3"/>
    <row r="2" spans="1:2" ht="18" x14ac:dyDescent="0.35">
      <c r="A2" s="30" t="s">
        <v>60</v>
      </c>
      <c r="B2" s="30" t="s">
        <v>61</v>
      </c>
    </row>
    <row r="3" spans="1:2" ht="14.45" x14ac:dyDescent="0.3">
      <c r="A3" s="31"/>
      <c r="B3" s="35">
        <f>SUM(B6:B8)</f>
        <v>0</v>
      </c>
    </row>
    <row r="4" spans="1:2" ht="14.45" x14ac:dyDescent="0.3"/>
    <row r="5" spans="1:2" x14ac:dyDescent="0.25">
      <c r="A5" s="32" t="s">
        <v>66</v>
      </c>
      <c r="B5" s="32" t="s">
        <v>67</v>
      </c>
    </row>
    <row r="6" spans="1:2" ht="15.6" x14ac:dyDescent="0.3">
      <c r="A6" s="33"/>
      <c r="B6" s="34"/>
    </row>
    <row r="7" spans="1:2" ht="15.75" x14ac:dyDescent="0.25">
      <c r="A7" s="33"/>
      <c r="B7" s="34"/>
    </row>
    <row r="8" spans="1:2" ht="15.75" x14ac:dyDescent="0.25">
      <c r="A8" s="33"/>
      <c r="B8" s="34"/>
    </row>
    <row r="9" spans="1:2" ht="15.6" hidden="1" x14ac:dyDescent="0.3">
      <c r="A9" s="33"/>
      <c r="B9" s="34"/>
    </row>
    <row r="10" spans="1:2" ht="15.6" hidden="1" x14ac:dyDescent="0.3">
      <c r="A10" s="33"/>
      <c r="B10" s="34"/>
    </row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43"/>
  <sheetViews>
    <sheetView workbookViewId="0">
      <selection activeCell="B3" sqref="B3"/>
    </sheetView>
  </sheetViews>
  <sheetFormatPr defaultColWidth="0" defaultRowHeight="15" zeroHeight="1" x14ac:dyDescent="0.25"/>
  <cols>
    <col min="1" max="1" width="48.42578125" style="3" customWidth="1"/>
    <col min="2" max="2" width="19.7109375" style="3" customWidth="1"/>
    <col min="3" max="16384" width="9.140625" style="3" hidden="1"/>
  </cols>
  <sheetData>
    <row r="1" spans="1:2" ht="14.45" x14ac:dyDescent="0.3"/>
    <row r="2" spans="1:2" ht="18.75" x14ac:dyDescent="0.3">
      <c r="A2" s="36" t="s">
        <v>63</v>
      </c>
      <c r="B2" s="36" t="s">
        <v>61</v>
      </c>
    </row>
    <row r="3" spans="1:2" ht="14.45" x14ac:dyDescent="0.3">
      <c r="A3" s="37"/>
      <c r="B3" s="35">
        <f>SUM(B6:B8)</f>
        <v>0</v>
      </c>
    </row>
    <row r="4" spans="1:2" ht="14.45" x14ac:dyDescent="0.3"/>
    <row r="5" spans="1:2" ht="18.75" x14ac:dyDescent="0.3">
      <c r="A5" s="36" t="s">
        <v>64</v>
      </c>
      <c r="B5" s="36" t="s">
        <v>65</v>
      </c>
    </row>
    <row r="6" spans="1:2" ht="14.45" x14ac:dyDescent="0.3">
      <c r="A6" s="39"/>
      <c r="B6" s="40"/>
    </row>
    <row r="7" spans="1:2" ht="14.45" x14ac:dyDescent="0.3">
      <c r="A7" s="39"/>
      <c r="B7" s="40"/>
    </row>
    <row r="8" spans="1:2" ht="14.45" x14ac:dyDescent="0.3">
      <c r="A8" s="39"/>
      <c r="B8" s="40"/>
    </row>
    <row r="9" spans="1:2" ht="14.45" hidden="1" x14ac:dyDescent="0.3">
      <c r="A9" s="39" t="s">
        <v>75</v>
      </c>
      <c r="B9" s="40">
        <v>1800</v>
      </c>
    </row>
    <row r="10" spans="1:2" ht="14.45" hidden="1" x14ac:dyDescent="0.3">
      <c r="A10" s="39" t="s">
        <v>77</v>
      </c>
      <c r="B10" s="40">
        <v>72</v>
      </c>
    </row>
    <row r="11" spans="1:2" ht="14.45" hidden="1" x14ac:dyDescent="0.3">
      <c r="A11" s="39" t="s">
        <v>23</v>
      </c>
      <c r="B11" s="40">
        <v>3.19</v>
      </c>
    </row>
    <row r="12" spans="1:2" ht="14.45" hidden="1" x14ac:dyDescent="0.3">
      <c r="A12" s="39" t="s">
        <v>22</v>
      </c>
      <c r="B12" s="40">
        <v>0.66</v>
      </c>
    </row>
    <row r="13" spans="1:2" ht="14.45" hidden="1" x14ac:dyDescent="0.3">
      <c r="A13" s="39" t="s">
        <v>79</v>
      </c>
      <c r="B13" s="40">
        <v>0.96</v>
      </c>
    </row>
    <row r="14" spans="1:2" ht="14.45" hidden="1" x14ac:dyDescent="0.3">
      <c r="A14" s="39" t="s">
        <v>21</v>
      </c>
      <c r="B14" s="40">
        <v>16.5</v>
      </c>
    </row>
    <row r="15" spans="1:2" ht="14.45" x14ac:dyDescent="0.3">
      <c r="A15" s="39"/>
      <c r="B15" s="40"/>
    </row>
    <row r="16" spans="1:2" ht="14.45" hidden="1" x14ac:dyDescent="0.3">
      <c r="A16" s="39" t="s">
        <v>75</v>
      </c>
      <c r="B16" s="40">
        <v>1800</v>
      </c>
    </row>
    <row r="17" spans="1:2" ht="14.45" hidden="1" x14ac:dyDescent="0.3">
      <c r="A17" s="39" t="s">
        <v>78</v>
      </c>
      <c r="B17" s="40">
        <v>72</v>
      </c>
    </row>
    <row r="18" spans="1:2" ht="14.45" hidden="1" x14ac:dyDescent="0.3">
      <c r="A18" s="39" t="s">
        <v>23</v>
      </c>
      <c r="B18" s="40">
        <v>3.19</v>
      </c>
    </row>
    <row r="19" spans="1:2" ht="14.45" hidden="1" x14ac:dyDescent="0.3">
      <c r="A19" s="39" t="s">
        <v>22</v>
      </c>
      <c r="B19" s="40">
        <v>0.66</v>
      </c>
    </row>
    <row r="20" spans="1:2" ht="14.45" hidden="1" x14ac:dyDescent="0.3">
      <c r="A20" s="39" t="s">
        <v>76</v>
      </c>
      <c r="B20" s="40">
        <v>0.96</v>
      </c>
    </row>
    <row r="21" spans="1:2" ht="14.45" hidden="1" x14ac:dyDescent="0.3">
      <c r="A21" s="39" t="s">
        <v>21</v>
      </c>
      <c r="B21" s="40">
        <v>16.5</v>
      </c>
    </row>
    <row r="22" spans="1:2" ht="14.45" x14ac:dyDescent="0.3">
      <c r="A22" s="39"/>
      <c r="B22" s="40"/>
    </row>
    <row r="23" spans="1:2" ht="14.45" hidden="1" x14ac:dyDescent="0.3">
      <c r="A23" s="39"/>
      <c r="B23" s="40"/>
    </row>
    <row r="24" spans="1:2" ht="14.45" hidden="1" x14ac:dyDescent="0.3">
      <c r="A24" s="39"/>
      <c r="B24" s="40"/>
    </row>
    <row r="25" spans="1:2" ht="14.45" hidden="1" x14ac:dyDescent="0.3">
      <c r="A25" s="39" t="s">
        <v>77</v>
      </c>
      <c r="B25" s="40">
        <v>72</v>
      </c>
    </row>
    <row r="26" spans="1:2" ht="14.45" hidden="1" x14ac:dyDescent="0.3">
      <c r="A26" s="39" t="s">
        <v>23</v>
      </c>
      <c r="B26" s="40">
        <v>3.19</v>
      </c>
    </row>
    <row r="27" spans="1:2" ht="14.45" hidden="1" x14ac:dyDescent="0.3">
      <c r="A27" s="39" t="s">
        <v>22</v>
      </c>
      <c r="B27" s="40">
        <v>0.66</v>
      </c>
    </row>
    <row r="28" spans="1:2" ht="14.45" hidden="1" x14ac:dyDescent="0.3">
      <c r="A28" s="39" t="s">
        <v>76</v>
      </c>
      <c r="B28" s="40">
        <v>0.96</v>
      </c>
    </row>
    <row r="29" spans="1:2" ht="14.45" hidden="1" x14ac:dyDescent="0.3">
      <c r="A29" s="39" t="s">
        <v>21</v>
      </c>
      <c r="B29" s="40">
        <v>16.5</v>
      </c>
    </row>
    <row r="30" spans="1:2" ht="14.45" hidden="1" x14ac:dyDescent="0.3">
      <c r="A30" s="39"/>
      <c r="B30" s="40"/>
    </row>
    <row r="31" spans="1:2" ht="14.45" hidden="1" x14ac:dyDescent="0.3">
      <c r="A31" s="39"/>
      <c r="B31" s="40"/>
    </row>
    <row r="32" spans="1:2" ht="14.45" hidden="1" x14ac:dyDescent="0.3">
      <c r="A32" s="39"/>
      <c r="B32" s="40"/>
    </row>
    <row r="33" spans="1:2" ht="14.45" hidden="1" x14ac:dyDescent="0.3">
      <c r="A33" s="39"/>
      <c r="B33" s="40"/>
    </row>
    <row r="34" spans="1:2" ht="14.45" hidden="1" x14ac:dyDescent="0.3">
      <c r="A34" s="39"/>
      <c r="B34" s="40"/>
    </row>
    <row r="35" spans="1:2" ht="14.45" hidden="1" x14ac:dyDescent="0.3">
      <c r="A35" s="39"/>
      <c r="B35" s="40"/>
    </row>
    <row r="36" spans="1:2" ht="14.45" hidden="1" x14ac:dyDescent="0.3">
      <c r="A36" s="39"/>
      <c r="B36" s="40"/>
    </row>
    <row r="37" spans="1:2" ht="14.45" hidden="1" x14ac:dyDescent="0.3">
      <c r="A37" s="39"/>
      <c r="B37" s="40"/>
    </row>
    <row r="38" spans="1:2" ht="14.45" hidden="1" x14ac:dyDescent="0.3">
      <c r="A38" s="39"/>
      <c r="B38" s="40"/>
    </row>
    <row r="39" spans="1:2" ht="14.45" hidden="1" x14ac:dyDescent="0.3">
      <c r="A39" s="39"/>
      <c r="B39" s="40"/>
    </row>
    <row r="40" spans="1:2" ht="14.45" hidden="1" x14ac:dyDescent="0.3">
      <c r="A40" s="39" t="s">
        <v>69</v>
      </c>
      <c r="B40" s="40">
        <v>2000</v>
      </c>
    </row>
    <row r="41" spans="1:2" ht="14.45" hidden="1" x14ac:dyDescent="0.3">
      <c r="A41" s="39"/>
      <c r="B41" s="40"/>
    </row>
    <row r="42" spans="1:2" ht="14.45" hidden="1" x14ac:dyDescent="0.3">
      <c r="A42" s="39"/>
      <c r="B42" s="40"/>
    </row>
    <row r="43" spans="1:2" ht="14.45" hidden="1" x14ac:dyDescent="0.3">
      <c r="A43" s="37"/>
      <c r="B43" s="38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C3:I4"/>
  <sheetViews>
    <sheetView showGridLines="0" workbookViewId="0">
      <selection activeCell="M13" sqref="M13"/>
    </sheetView>
  </sheetViews>
  <sheetFormatPr defaultRowHeight="15" x14ac:dyDescent="0.25"/>
  <sheetData>
    <row r="3" spans="3:9" ht="21" x14ac:dyDescent="0.35">
      <c r="C3" s="83" t="s">
        <v>34</v>
      </c>
      <c r="D3" s="83"/>
      <c r="E3" s="83"/>
      <c r="F3" s="83"/>
      <c r="G3" s="83"/>
      <c r="H3" s="83"/>
      <c r="I3" s="83"/>
    </row>
    <row r="4" spans="3:9" ht="21" x14ac:dyDescent="0.35">
      <c r="C4" s="1" t="s">
        <v>35</v>
      </c>
      <c r="D4" s="1"/>
      <c r="E4" s="1"/>
      <c r="F4" s="1"/>
      <c r="G4" s="1"/>
      <c r="H4" s="1"/>
      <c r="I4" s="1"/>
    </row>
  </sheetData>
  <mergeCells count="1">
    <mergeCell ref="C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precificação</vt:lpstr>
      <vt:lpstr>fluxo de caixa</vt:lpstr>
      <vt:lpstr>entrada</vt:lpstr>
      <vt:lpstr>saida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Faturamento</dc:creator>
  <cp:lastModifiedBy>Faturamento</cp:lastModifiedBy>
  <cp:lastPrinted>2023-10-05T19:01:35Z</cp:lastPrinted>
  <dcterms:created xsi:type="dcterms:W3CDTF">2023-10-02T15:41:12Z</dcterms:created>
  <dcterms:modified xsi:type="dcterms:W3CDTF">2023-10-06T16:48:22Z</dcterms:modified>
</cp:coreProperties>
</file>